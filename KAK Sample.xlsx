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#DARTONOTES\DOSEN\"/>
    </mc:Choice>
  </mc:AlternateContent>
  <xr:revisionPtr revIDLastSave="0" documentId="13_ncr:1_{BF42F2E6-A0B4-42EE-ABBB-3F2627905D8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KAK" sheetId="1" r:id="rId1"/>
    <sheet name="TCF - EF" sheetId="2" r:id="rId2"/>
    <sheet name="Use Case Point Per Paket" sheetId="3" r:id="rId3"/>
    <sheet name="Cost Estimation Per Pak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4" l="1"/>
  <c r="J6" i="4"/>
  <c r="J5" i="4"/>
  <c r="M20" i="4"/>
  <c r="B20" i="4"/>
  <c r="F19" i="4"/>
  <c r="C19" i="4"/>
  <c r="C18" i="4"/>
  <c r="F18" i="4" s="1"/>
  <c r="F17" i="4"/>
  <c r="C17" i="4"/>
  <c r="C16" i="4"/>
  <c r="F15" i="4"/>
  <c r="C15" i="4"/>
  <c r="F14" i="4"/>
  <c r="C14" i="4"/>
  <c r="J11" i="4" s="1"/>
  <c r="K11" i="4" s="1"/>
  <c r="L11" i="4" s="1"/>
  <c r="N11" i="4" s="1"/>
  <c r="C13" i="4"/>
  <c r="F13" i="4" s="1"/>
  <c r="M12" i="4"/>
  <c r="F12" i="4"/>
  <c r="C12" i="4"/>
  <c r="C11" i="4"/>
  <c r="J10" i="4"/>
  <c r="K10" i="4" s="1"/>
  <c r="L10" i="4" s="1"/>
  <c r="N10" i="4" s="1"/>
  <c r="F10" i="4"/>
  <c r="C10" i="4"/>
  <c r="K9" i="4"/>
  <c r="L9" i="4" s="1"/>
  <c r="N9" i="4" s="1"/>
  <c r="J9" i="4"/>
  <c r="C9" i="4"/>
  <c r="F9" i="4" s="1"/>
  <c r="J8" i="4"/>
  <c r="K8" i="4" s="1"/>
  <c r="L8" i="4" s="1"/>
  <c r="N8" i="4" s="1"/>
  <c r="F8" i="4"/>
  <c r="C8" i="4"/>
  <c r="C7" i="4"/>
  <c r="F6" i="4"/>
  <c r="C6" i="4"/>
  <c r="K5" i="4"/>
  <c r="L5" i="4" s="1"/>
  <c r="N5" i="4" s="1"/>
  <c r="G10" i="3"/>
  <c r="G9" i="3"/>
  <c r="D28" i="2"/>
  <c r="D27" i="2"/>
  <c r="D26" i="2"/>
  <c r="D25" i="2"/>
  <c r="D24" i="2"/>
  <c r="D23" i="2"/>
  <c r="D22" i="2"/>
  <c r="D21" i="2"/>
  <c r="D29" i="2" s="1"/>
  <c r="D30" i="2" s="1"/>
  <c r="D14" i="2"/>
  <c r="D13" i="2"/>
  <c r="D12" i="2"/>
  <c r="D11" i="2"/>
  <c r="D10" i="2"/>
  <c r="D9" i="2"/>
  <c r="D8" i="2"/>
  <c r="D7" i="2"/>
  <c r="D15" i="2" s="1"/>
  <c r="D18" i="2" s="1"/>
  <c r="D6" i="2"/>
  <c r="D5" i="2"/>
  <c r="D4" i="2"/>
  <c r="D3" i="2"/>
  <c r="D2" i="2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J13" i="1"/>
  <c r="I13" i="1"/>
  <c r="J12" i="1"/>
  <c r="I12" i="1"/>
  <c r="J11" i="1"/>
  <c r="K11" i="1" s="1"/>
  <c r="I11" i="1"/>
  <c r="Q10" i="1"/>
  <c r="I10" i="1"/>
  <c r="J10" i="1" s="1"/>
  <c r="R9" i="1"/>
  <c r="I9" i="1"/>
  <c r="J9" i="1" s="1"/>
  <c r="R8" i="1"/>
  <c r="I8" i="1"/>
  <c r="J8" i="1" s="1"/>
  <c r="R7" i="1"/>
  <c r="I7" i="1"/>
  <c r="J7" i="1" s="1"/>
  <c r="R6" i="1"/>
  <c r="J6" i="1"/>
  <c r="I6" i="1"/>
  <c r="R5" i="1"/>
  <c r="I5" i="1"/>
  <c r="J5" i="1" s="1"/>
  <c r="R4" i="1"/>
  <c r="I4" i="1"/>
  <c r="J4" i="1" s="1"/>
  <c r="R3" i="1"/>
  <c r="R10" i="1" s="1"/>
  <c r="C4" i="3" s="1"/>
  <c r="I3" i="1"/>
  <c r="J3" i="1" s="1"/>
  <c r="J21" i="1" s="1"/>
  <c r="K7" i="4" l="1"/>
  <c r="L7" i="4" s="1"/>
  <c r="N7" i="4" s="1"/>
  <c r="F4" i="3"/>
  <c r="G4" i="3" s="1"/>
  <c r="H4" i="3" s="1"/>
  <c r="I4" i="3" s="1"/>
  <c r="I6" i="3" s="1"/>
  <c r="E4" i="3"/>
  <c r="J12" i="4"/>
  <c r="K21" i="1"/>
  <c r="L21" i="1" s="1"/>
  <c r="M21" i="1" s="1"/>
  <c r="N21" i="1" s="1"/>
  <c r="D4" i="3"/>
  <c r="P14" i="1"/>
  <c r="F7" i="4"/>
  <c r="F20" i="4" s="1"/>
  <c r="C20" i="4"/>
  <c r="L11" i="1"/>
  <c r="M11" i="1" s="1"/>
  <c r="K6" i="4"/>
  <c r="L6" i="4" s="1"/>
  <c r="N6" i="4" s="1"/>
  <c r="N12" i="4" s="1"/>
  <c r="L12" i="4" l="1"/>
  <c r="F21" i="4"/>
  <c r="F22" i="4" s="1"/>
  <c r="H20" i="4"/>
  <c r="N11" i="1"/>
  <c r="F23" i="4" l="1"/>
  <c r="F24" i="4" s="1"/>
</calcChain>
</file>

<file path=xl/sharedStrings.xml><?xml version="1.0" encoding="utf-8"?>
<sst xmlns="http://schemas.openxmlformats.org/spreadsheetml/2006/main" count="309" uniqueCount="204">
  <si>
    <t>No</t>
  </si>
  <si>
    <t>Sub</t>
  </si>
  <si>
    <t>Usecase</t>
  </si>
  <si>
    <t>Jenis</t>
  </si>
  <si>
    <t>Catatan</t>
  </si>
  <si>
    <t>Unadjusted Use Case Weighting (UUCW)</t>
  </si>
  <si>
    <t>Unadjusted Actor Weight (UAW)</t>
  </si>
  <si>
    <t>Jumlah UI</t>
  </si>
  <si>
    <t>Kompleksitas Use Case</t>
  </si>
  <si>
    <t>Bobot UUCW</t>
  </si>
  <si>
    <t>UUCW</t>
  </si>
  <si>
    <t>Aktor</t>
  </si>
  <si>
    <t>Jenis Aktor</t>
  </si>
  <si>
    <t>UAW</t>
  </si>
  <si>
    <t xml:space="preserve">Portal </t>
  </si>
  <si>
    <t>Penerbitan Nopen</t>
  </si>
  <si>
    <t>CRUD</t>
  </si>
  <si>
    <t>Average</t>
  </si>
  <si>
    <t>Pengguana Jasa</t>
  </si>
  <si>
    <t>Complex</t>
  </si>
  <si>
    <r>
      <rPr>
        <b/>
        <sz val="9"/>
        <color rgb="FF000000"/>
        <rFont val="Poppins"/>
      </rPr>
      <t xml:space="preserve">Home
</t>
    </r>
    <r>
      <rPr>
        <sz val="9"/>
        <color rgb="FF000000"/>
        <rFont val="Poppins"/>
      </rPr>
      <t>- Tampilan umum icon (Knowledgebase, News &amp; Event, Layanan, Buat Tiket)</t>
    </r>
  </si>
  <si>
    <t>Read</t>
  </si>
  <si>
    <t>Analis</t>
  </si>
  <si>
    <t>Actor Classification</t>
  </si>
  <si>
    <t>Type of Actor</t>
  </si>
  <si>
    <t>Weight</t>
  </si>
  <si>
    <r>
      <rPr>
        <b/>
        <sz val="9"/>
        <color rgb="FF000000"/>
        <rFont val="Poppins"/>
      </rPr>
      <t xml:space="preserve">Knowledgebase 
</t>
    </r>
    <r>
      <rPr>
        <sz val="9"/>
        <color rgb="FF000000"/>
        <rFont val="Poppins"/>
      </rPr>
      <t>(Pencarian, User manual,  FAQ, Publikasi, Form Request)</t>
    </r>
  </si>
  <si>
    <t>Admin IKC</t>
  </si>
  <si>
    <t>Simple</t>
  </si>
  <si>
    <t>Berinteraksi melalui API, seperti Command Prompt</t>
  </si>
  <si>
    <r>
      <rPr>
        <b/>
        <sz val="9"/>
        <color rgb="FF000000"/>
        <rFont val="Poppins"/>
      </rPr>
      <t xml:space="preserve">News &amp; Event
</t>
    </r>
    <r>
      <rPr>
        <sz val="9"/>
        <color rgb="FF000000"/>
        <rFont val="Poppins"/>
      </rPr>
      <t>- tampilan berita dan acara IKC, dapat diganti sesuai kebutuhan admin portal</t>
    </r>
  </si>
  <si>
    <t>Technical Support</t>
  </si>
  <si>
    <t>Berinteraksi melalui Protokol, seperti TCP/IP</t>
  </si>
  <si>
    <t>Perekaman Layanan Service Katalog</t>
  </si>
  <si>
    <t>Pegawai IKC</t>
  </si>
  <si>
    <t>Berinteraksi melalui GUI atau Web Page</t>
  </si>
  <si>
    <t>Melihat status layanan</t>
  </si>
  <si>
    <t>Seksi DIKC</t>
  </si>
  <si>
    <t>Inhouse</t>
  </si>
  <si>
    <t>CMS Knowledge, News &amp; Event</t>
  </si>
  <si>
    <t>Subdit DIKC</t>
  </si>
  <si>
    <t>Manajemen release</t>
  </si>
  <si>
    <t>TOTAL</t>
  </si>
  <si>
    <t>Use Case Clasification Weight (UUCW)</t>
  </si>
  <si>
    <t>Perekaman Issue</t>
  </si>
  <si>
    <t>Tipe Usecase</t>
  </si>
  <si>
    <t>No. of Transactions</t>
  </si>
  <si>
    <t>Bobot</t>
  </si>
  <si>
    <t>Manajemen layanan Service Katalog</t>
  </si>
  <si>
    <t>Unadjusted Use Case Points
(UUCP=Tot UUCW+Tot UAW)</t>
  </si>
  <si>
    <t>Tindak Lanjut layanan Service Katalog</t>
  </si>
  <si>
    <t>Manajemen distribusi ticket</t>
  </si>
  <si>
    <t>Menggunakan ≤ 3 transaksi</t>
  </si>
  <si>
    <t xml:space="preserve">Browse </t>
  </si>
  <si>
    <t>Setting</t>
  </si>
  <si>
    <t>Menggunakan 4 - 7 transaksi</t>
  </si>
  <si>
    <t>Dashboard</t>
  </si>
  <si>
    <t>Menampilkan statistik gangguan</t>
  </si>
  <si>
    <t>Lebih dari 7 transaksi</t>
  </si>
  <si>
    <t>Menampilkan performa petugas</t>
  </si>
  <si>
    <t>Menampilkan monitoring SLA</t>
  </si>
  <si>
    <t>Technical Complexity Factor</t>
  </si>
  <si>
    <t>Relevance 0-5</t>
  </si>
  <si>
    <t>Score</t>
  </si>
  <si>
    <t>Keterangan</t>
  </si>
  <si>
    <t>T1 Distributed System</t>
  </si>
  <si>
    <t>Sistem tersentralisasi</t>
  </si>
  <si>
    <t>T2 Performance</t>
  </si>
  <si>
    <t>Kecepatan akses baik</t>
  </si>
  <si>
    <t>T3 End User Efficiency</t>
  </si>
  <si>
    <t>Web based, pengaruh spesifikasi user</t>
  </si>
  <si>
    <t>T4 Complex Internal Processing</t>
  </si>
  <si>
    <t>T5 Reusability</t>
  </si>
  <si>
    <t>Component Based</t>
  </si>
  <si>
    <t>T6 Easy to Install</t>
  </si>
  <si>
    <t>Container based deployment</t>
  </si>
  <si>
    <t>T7 Easy to Use</t>
  </si>
  <si>
    <t>Web Based</t>
  </si>
  <si>
    <t>T8 Portability</t>
  </si>
  <si>
    <t>Backend dapat digunakan oleh sistem lainnya</t>
  </si>
  <si>
    <t>T9 Easy to Change</t>
  </si>
  <si>
    <t>Penyesuaian dilakukan mempengaruhi sistem lainnya</t>
  </si>
  <si>
    <t>T10 Concurrency</t>
  </si>
  <si>
    <t>User Konkuren, Waktu peak bisa 1000 transaction per second</t>
  </si>
  <si>
    <t>T11 Special Security Features</t>
  </si>
  <si>
    <t>Pembagian hak akses dan role menyesuaikan apps manager</t>
  </si>
  <si>
    <t>T12 Provides Direct Access for Third Parties</t>
  </si>
  <si>
    <t>API</t>
  </si>
  <si>
    <t>T13 Special User Training Facilities Are Required</t>
  </si>
  <si>
    <t>Tidak memerlukan fasilitas khusus</t>
  </si>
  <si>
    <t>Sum</t>
  </si>
  <si>
    <t>Complexity Factor</t>
  </si>
  <si>
    <t>C2</t>
  </si>
  <si>
    <t>TCF = 0.6 + (0.01 x Total TCF Value)</t>
  </si>
  <si>
    <t>Environmental Factor</t>
  </si>
  <si>
    <t>Impact 0-5</t>
  </si>
  <si>
    <t>E1 Familiarity with System Development Process</t>
  </si>
  <si>
    <t>Familiar</t>
  </si>
  <si>
    <t>E2 Part-Time Workers</t>
  </si>
  <si>
    <t>Tidak ada part-time</t>
  </si>
  <si>
    <t>E3 Analyst Capability</t>
  </si>
  <si>
    <t>Memiliki kemampuan analisis sistem yang baik</t>
  </si>
  <si>
    <t>E4 Application Experience</t>
  </si>
  <si>
    <t>Berpengalaman mengembangkan aplikasi</t>
  </si>
  <si>
    <t>E5 Object-Oriented Experience</t>
  </si>
  <si>
    <t>Berpengalaman dengan object oriented</t>
  </si>
  <si>
    <t>E6 Motivation</t>
  </si>
  <si>
    <t>Dukungan yang baik dari organisasi</t>
  </si>
  <si>
    <t>E7 Difficult Programming Language</t>
  </si>
  <si>
    <t>Bahasa pemrograman Baru</t>
  </si>
  <si>
    <t>E8 Stable Requirements</t>
  </si>
  <si>
    <t>Kebutuhan tidak berubah</t>
  </si>
  <si>
    <t>Sum (ETF)</t>
  </si>
  <si>
    <t>ECF = 1.4 +(-0.03 * Environmental Total Factor)</t>
  </si>
  <si>
    <t>PF (Historical based average man hours per use case point)</t>
  </si>
  <si>
    <t>Perhitungan Effort CEISACARE 2023</t>
  </si>
  <si>
    <t>Sub Paket</t>
  </si>
  <si>
    <t>Total UAW</t>
  </si>
  <si>
    <t>Total UUCW</t>
  </si>
  <si>
    <t>UUCP (UAW+UUCW)</t>
  </si>
  <si>
    <t>UCP (UUCP*TCF*EF)</t>
  </si>
  <si>
    <t>PHM (UCP * 20)</t>
  </si>
  <si>
    <t>WD (PHM/8)</t>
  </si>
  <si>
    <t>MM (WD/22)</t>
  </si>
  <si>
    <t>CEISACARE</t>
  </si>
  <si>
    <t>Total</t>
  </si>
  <si>
    <t>UAW = Unadjusted Actor Weighting</t>
  </si>
  <si>
    <t>UUCW = Unadjusted Use Case Weighting</t>
  </si>
  <si>
    <t>1.144 man-hour (orang per jam)</t>
  </si>
  <si>
    <t>UUCP = Unadjusted Use Case Point</t>
  </si>
  <si>
    <t>UCP = Use Case Point</t>
  </si>
  <si>
    <t>PHM = Person-Hours Multiplier</t>
  </si>
  <si>
    <t>WD = Working Days</t>
  </si>
  <si>
    <t>MM = Man-Month</t>
  </si>
  <si>
    <t>Person-Hours Multiplier (PHM)</t>
  </si>
  <si>
    <t>Value</t>
  </si>
  <si>
    <t>Decision rule: 20 or 28 hours</t>
  </si>
  <si>
    <t>Cost Estimation by Use Case</t>
  </si>
  <si>
    <t>Planning (Actual)</t>
  </si>
  <si>
    <t xml:space="preserve">Analysis </t>
  </si>
  <si>
    <t xml:space="preserve">Design </t>
  </si>
  <si>
    <t>Implementation</t>
  </si>
  <si>
    <t>KAK Akhir Tahun</t>
  </si>
  <si>
    <t>OPSI 1</t>
  </si>
  <si>
    <t>Phase</t>
  </si>
  <si>
    <t>Prosentase Effort Distribution</t>
  </si>
  <si>
    <t>Effort Distribution (Man-Month)</t>
  </si>
  <si>
    <t>PIC</t>
  </si>
  <si>
    <t>Gaji Per Bulan (Inkindo, 2023)</t>
  </si>
  <si>
    <t xml:space="preserve">Cost Estimation </t>
  </si>
  <si>
    <t>MM</t>
  </si>
  <si>
    <t>Role</t>
  </si>
  <si>
    <t>Waktu</t>
  </si>
  <si>
    <t>Kebutuhan</t>
  </si>
  <si>
    <t>Tersedia</t>
  </si>
  <si>
    <t>Gap</t>
  </si>
  <si>
    <t>Software Phase Development</t>
  </si>
  <si>
    <t>PM</t>
  </si>
  <si>
    <t>Needs analysis (Requirement)</t>
  </si>
  <si>
    <t>Business Analyst</t>
  </si>
  <si>
    <t>ba</t>
  </si>
  <si>
    <t>BA</t>
  </si>
  <si>
    <t>Specification</t>
  </si>
  <si>
    <t>System Analyst</t>
  </si>
  <si>
    <t>sa</t>
  </si>
  <si>
    <t>SA</t>
  </si>
  <si>
    <t>Design</t>
  </si>
  <si>
    <t>Bulan</t>
  </si>
  <si>
    <t>PROG</t>
  </si>
  <si>
    <t>Implementation (Coding)</t>
  </si>
  <si>
    <t>Programmer</t>
  </si>
  <si>
    <t>p</t>
  </si>
  <si>
    <t>QC</t>
  </si>
  <si>
    <t>Acceptance &amp; installation</t>
  </si>
  <si>
    <t>QA</t>
  </si>
  <si>
    <t>Ongoing life-cycle activity</t>
  </si>
  <si>
    <t>TW</t>
  </si>
  <si>
    <t>Project management</t>
  </si>
  <si>
    <t>Project Manager</t>
  </si>
  <si>
    <t>pm</t>
  </si>
  <si>
    <t>Configuration management</t>
  </si>
  <si>
    <t>Documentation</t>
  </si>
  <si>
    <t>Tehnical Writer</t>
  </si>
  <si>
    <t>tw</t>
  </si>
  <si>
    <t>Tingkat produktivitas</t>
  </si>
  <si>
    <t>Training &amp; technical support</t>
  </si>
  <si>
    <t>Tingkatan</t>
  </si>
  <si>
    <t>Rata - rata</t>
  </si>
  <si>
    <t>Quality and testing phases</t>
  </si>
  <si>
    <t xml:space="preserve">0.10 - 0.15 </t>
  </si>
  <si>
    <t>Integrated testing</t>
  </si>
  <si>
    <t>Tester</t>
  </si>
  <si>
    <t>qc</t>
  </si>
  <si>
    <t>0.15 - 0.20</t>
  </si>
  <si>
    <t>Quality assurance</t>
  </si>
  <si>
    <t>qa</t>
  </si>
  <si>
    <t xml:space="preserve">0.20 - 0.30 </t>
  </si>
  <si>
    <t>Evaluation &amp; testing</t>
  </si>
  <si>
    <t xml:space="preserve">0.25 - 0.35 </t>
  </si>
  <si>
    <t>Total of Effort</t>
  </si>
  <si>
    <t xml:space="preserve">0.15 - 0.20 </t>
  </si>
  <si>
    <t>Estimasi Garansi 25%</t>
  </si>
  <si>
    <t>Sub Total</t>
  </si>
  <si>
    <t>PPN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</si>
</sst>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_-;_-@"/>
  </numFmts>
  <fonts count="34">
    <font>
      <sz val="11"/>
      <color theme="1"/>
      <name val="Calibri"/>
      <scheme val="minor"/>
    </font>
    <font>
      <sz val="9"/>
      <color rgb="FFFFFF00"/>
      <name val="Poppins"/>
    </font>
    <font>
      <sz val="11"/>
      <name val="Calibri"/>
    </font>
    <font>
      <sz val="9"/>
      <color theme="1"/>
      <name val="Poppins"/>
    </font>
    <font>
      <b/>
      <sz val="9"/>
      <color theme="1"/>
      <name val="Poppins"/>
    </font>
    <font>
      <b/>
      <sz val="9"/>
      <color rgb="FFFFFF00"/>
      <name val="Poppins"/>
    </font>
    <font>
      <b/>
      <sz val="9"/>
      <color rgb="FF000000"/>
      <name val="Poppins"/>
    </font>
    <font>
      <b/>
      <sz val="9"/>
      <color rgb="FFFFFFFF"/>
      <name val="Poppins"/>
    </font>
    <font>
      <sz val="9"/>
      <color rgb="FF000000"/>
      <name val="Poppins"/>
    </font>
    <font>
      <b/>
      <sz val="9"/>
      <color rgb="FF222222"/>
      <name val="Poppins"/>
    </font>
    <font>
      <sz val="9"/>
      <color rgb="FF222222"/>
      <name val="Poppins"/>
    </font>
    <font>
      <sz val="11"/>
      <color theme="1"/>
      <name val="Calibri"/>
      <scheme val="minor"/>
    </font>
    <font>
      <b/>
      <sz val="10"/>
      <color rgb="FFFFFF00"/>
      <name val="Arial"/>
    </font>
    <font>
      <sz val="9"/>
      <color rgb="FFFFFFFF"/>
      <name val="Poppins"/>
    </font>
    <font>
      <b/>
      <i/>
      <sz val="11"/>
      <color theme="1"/>
      <name val="Roboto"/>
    </font>
    <font>
      <sz val="11"/>
      <color theme="1"/>
      <name val="Roboto"/>
    </font>
    <font>
      <sz val="11"/>
      <color rgb="FF000000"/>
      <name val="Roboto"/>
    </font>
    <font>
      <sz val="11"/>
      <color rgb="FF000000"/>
      <name val="Arial"/>
    </font>
    <font>
      <sz val="11"/>
      <color rgb="FFFFFFFF"/>
      <name val="Roboto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0"/>
      <color rgb="FFFFFFFF"/>
      <name val="Arial"/>
    </font>
    <font>
      <i/>
      <sz val="10"/>
      <color theme="1"/>
      <name val="Arial"/>
    </font>
    <font>
      <b/>
      <sz val="12"/>
      <color rgb="FF000000"/>
      <name val="Arial"/>
    </font>
    <font>
      <b/>
      <sz val="9"/>
      <color theme="1"/>
      <name val="&quot;Fira Sans&quot;"/>
    </font>
    <font>
      <sz val="11"/>
      <color theme="1"/>
      <name val="Arial"/>
    </font>
    <font>
      <sz val="9"/>
      <color rgb="FFFFFFFF"/>
      <name val="&quot;Fira Sans&quot;"/>
    </font>
    <font>
      <sz val="9"/>
      <color theme="1"/>
      <name val="&quot;Fira Sans&quot;"/>
    </font>
    <font>
      <b/>
      <sz val="9"/>
      <color rgb="FFFFFFFF"/>
      <name val="&quot;Fira Sans&quot;"/>
    </font>
    <font>
      <b/>
      <i/>
      <sz val="9"/>
      <color theme="1"/>
      <name val="&quot;Fira Sans&quot;"/>
    </font>
    <font>
      <sz val="9"/>
      <color rgb="FFFF0000"/>
      <name val="&quot;Fira Sans&quot;"/>
    </font>
    <font>
      <i/>
      <sz val="9"/>
      <color theme="1"/>
      <name val="&quot;Fira Sans&quot;"/>
    </font>
    <font>
      <b/>
      <sz val="9"/>
      <color rgb="FFFF0000"/>
      <name val="&quot;Fira Sans&quot;"/>
    </font>
  </fonts>
  <fills count="1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000000"/>
        <bgColor rgb="FF000000"/>
      </patternFill>
    </fill>
    <fill>
      <patternFill patternType="solid">
        <fgColor rgb="FFEAECF0"/>
        <bgColor rgb="FFEAECF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0B5394"/>
        <bgColor rgb="FF0B5394"/>
      </patternFill>
    </fill>
    <fill>
      <patternFill patternType="solid">
        <fgColor rgb="FF4285F4"/>
        <bgColor rgb="FF4285F4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hair">
        <color rgb="FF434343"/>
      </bottom>
      <diagonal/>
    </border>
    <border>
      <left/>
      <right style="hair">
        <color rgb="FF434343"/>
      </right>
      <top/>
      <bottom/>
      <diagonal/>
    </border>
    <border>
      <left/>
      <right style="hair">
        <color rgb="FF434343"/>
      </right>
      <top/>
      <bottom style="hair">
        <color rgb="FF434343"/>
      </bottom>
      <diagonal/>
    </border>
    <border>
      <left style="thin">
        <color rgb="FF0B5394"/>
      </left>
      <right style="thin">
        <color rgb="FF0B5394"/>
      </right>
      <top style="thin">
        <color rgb="FF0B5394"/>
      </top>
      <bottom style="thin">
        <color rgb="FF0B5394"/>
      </bottom>
      <diagonal/>
    </border>
    <border>
      <left style="thin">
        <color rgb="FF0B5394"/>
      </left>
      <right/>
      <top style="thin">
        <color rgb="FF0B5394"/>
      </top>
      <bottom style="thin">
        <color rgb="FF0B5394"/>
      </bottom>
      <diagonal/>
    </border>
    <border>
      <left/>
      <right/>
      <top style="thin">
        <color rgb="FF0B5394"/>
      </top>
      <bottom style="thin">
        <color rgb="FF0B5394"/>
      </bottom>
      <diagonal/>
    </border>
    <border>
      <left/>
      <right style="thin">
        <color rgb="FF0B5394"/>
      </right>
      <top style="thin">
        <color rgb="FF0B5394"/>
      </top>
      <bottom style="thin">
        <color rgb="FF0B5394"/>
      </bottom>
      <diagonal/>
    </border>
  </borders>
  <cellStyleXfs count="1">
    <xf numFmtId="0" fontId="0" fillId="0" borderId="0"/>
  </cellStyleXfs>
  <cellXfs count="177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3" fillId="0" borderId="0" xfId="0" applyFont="1"/>
    <xf numFmtId="0" fontId="6" fillId="0" borderId="0" xfId="0" applyFont="1" applyAlignment="1">
      <alignment vertical="top" wrapText="1"/>
    </xf>
    <xf numFmtId="0" fontId="7" fillId="3" borderId="0" xfId="0" applyFont="1" applyFill="1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8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3" fillId="0" borderId="2" xfId="0" applyFont="1" applyBorder="1" applyAlignment="1"/>
    <xf numFmtId="0" fontId="8" fillId="0" borderId="2" xfId="0" applyFont="1" applyBorder="1" applyAlignment="1">
      <alignment horizontal="center" vertical="top" wrapText="1"/>
    </xf>
    <xf numFmtId="0" fontId="9" fillId="4" borderId="2" xfId="0" applyFont="1" applyFill="1" applyBorder="1" applyAlignment="1">
      <alignment horizontal="center" vertical="top" wrapText="1"/>
    </xf>
    <xf numFmtId="0" fontId="9" fillId="4" borderId="2" xfId="0" applyFont="1" applyFill="1" applyBorder="1" applyAlignment="1">
      <alignment horizontal="center" vertical="top"/>
    </xf>
    <xf numFmtId="0" fontId="8" fillId="5" borderId="2" xfId="0" applyFont="1" applyFill="1" applyBorder="1" applyAlignment="1">
      <alignment horizontal="left" vertical="top" wrapText="1"/>
    </xf>
    <xf numFmtId="0" fontId="8" fillId="0" borderId="2" xfId="0" applyFont="1" applyBorder="1" applyAlignment="1"/>
    <xf numFmtId="0" fontId="10" fillId="6" borderId="2" xfId="0" applyFont="1" applyFill="1" applyBorder="1" applyAlignment="1">
      <alignment vertical="top" wrapText="1"/>
    </xf>
    <xf numFmtId="0" fontId="10" fillId="6" borderId="2" xfId="0" applyFont="1" applyFill="1" applyBorder="1" applyAlignment="1">
      <alignment vertical="top" wrapText="1"/>
    </xf>
    <xf numFmtId="0" fontId="10" fillId="6" borderId="2" xfId="0" applyFont="1" applyFill="1" applyBorder="1" applyAlignment="1">
      <alignment horizontal="center" vertical="top"/>
    </xf>
    <xf numFmtId="0" fontId="3" fillId="0" borderId="0" xfId="0" applyFont="1" applyAlignment="1"/>
    <xf numFmtId="0" fontId="3" fillId="0" borderId="0" xfId="0" applyFont="1"/>
    <xf numFmtId="0" fontId="11" fillId="0" borderId="0" xfId="0" applyFont="1" applyAlignment="1"/>
    <xf numFmtId="0" fontId="8" fillId="0" borderId="2" xfId="0" applyFont="1" applyBorder="1" applyAlignment="1">
      <alignment horizontal="left" wrapText="1"/>
    </xf>
    <xf numFmtId="0" fontId="7" fillId="2" borderId="2" xfId="0" applyFont="1" applyFill="1" applyBorder="1" applyAlignment="1"/>
    <xf numFmtId="0" fontId="7" fillId="2" borderId="2" xfId="0" applyFont="1" applyFill="1" applyBorder="1"/>
    <xf numFmtId="0" fontId="7" fillId="2" borderId="0" xfId="0" applyFont="1" applyFill="1" applyAlignment="1">
      <alignment vertical="top" wrapText="1"/>
    </xf>
    <xf numFmtId="0" fontId="9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9" fillId="4" borderId="0" xfId="0" applyFont="1" applyFill="1" applyAlignment="1">
      <alignment horizontal="center" vertical="top" wrapText="1"/>
    </xf>
    <xf numFmtId="0" fontId="9" fillId="4" borderId="8" xfId="0" applyFont="1" applyFill="1" applyBorder="1" applyAlignment="1">
      <alignment horizontal="center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/>
    </xf>
    <xf numFmtId="0" fontId="6" fillId="0" borderId="2" xfId="0" applyFont="1" applyBorder="1" applyAlignment="1">
      <alignment horizontal="center"/>
    </xf>
    <xf numFmtId="0" fontId="10" fillId="6" borderId="0" xfId="0" applyFont="1" applyFill="1" applyAlignment="1">
      <alignment vertical="top" wrapText="1"/>
    </xf>
    <xf numFmtId="0" fontId="10" fillId="6" borderId="8" xfId="0" applyFont="1" applyFill="1" applyBorder="1" applyAlignment="1">
      <alignment vertical="top" wrapText="1"/>
    </xf>
    <xf numFmtId="0" fontId="10" fillId="0" borderId="2" xfId="0" applyFont="1" applyBorder="1" applyAlignment="1">
      <alignment vertical="top"/>
    </xf>
    <xf numFmtId="0" fontId="10" fillId="0" borderId="2" xfId="0" applyFont="1" applyBorder="1" applyAlignment="1">
      <alignment horizontal="center" vertical="top"/>
    </xf>
    <xf numFmtId="0" fontId="10" fillId="6" borderId="9" xfId="0" applyFont="1" applyFill="1" applyBorder="1" applyAlignment="1">
      <alignment vertical="top" wrapText="1"/>
    </xf>
    <xf numFmtId="0" fontId="10" fillId="6" borderId="10" xfId="0" applyFont="1" applyFill="1" applyBorder="1" applyAlignment="1">
      <alignment vertical="top" wrapText="1"/>
    </xf>
    <xf numFmtId="0" fontId="10" fillId="6" borderId="10" xfId="0" applyFont="1" applyFill="1" applyBorder="1" applyAlignment="1">
      <alignment horizontal="center" vertical="top"/>
    </xf>
    <xf numFmtId="0" fontId="10" fillId="6" borderId="9" xfId="0" applyFont="1" applyFill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center" wrapText="1"/>
    </xf>
    <xf numFmtId="0" fontId="10" fillId="6" borderId="0" xfId="0" applyFont="1" applyFill="1" applyAlignment="1">
      <alignment horizontal="center" vertical="top"/>
    </xf>
    <xf numFmtId="0" fontId="13" fillId="7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5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/>
    <xf numFmtId="0" fontId="14" fillId="0" borderId="2" xfId="0" applyFont="1" applyBorder="1"/>
    <xf numFmtId="4" fontId="15" fillId="0" borderId="5" xfId="0" applyNumberFormat="1" applyFont="1" applyBorder="1"/>
    <xf numFmtId="0" fontId="15" fillId="0" borderId="5" xfId="0" applyFont="1" applyBorder="1"/>
    <xf numFmtId="0" fontId="15" fillId="0" borderId="0" xfId="0" applyFont="1"/>
    <xf numFmtId="0" fontId="15" fillId="0" borderId="6" xfId="0" applyFont="1" applyBorder="1"/>
    <xf numFmtId="4" fontId="15" fillId="8" borderId="11" xfId="0" applyNumberFormat="1" applyFont="1" applyFill="1" applyBorder="1" applyAlignment="1">
      <alignment horizontal="right"/>
    </xf>
    <xf numFmtId="0" fontId="15" fillId="0" borderId="12" xfId="0" applyFont="1" applyBorder="1" applyAlignment="1">
      <alignment horizontal="right"/>
    </xf>
    <xf numFmtId="4" fontId="15" fillId="0" borderId="12" xfId="0" applyNumberFormat="1" applyFont="1" applyBorder="1" applyAlignment="1">
      <alignment horizontal="right"/>
    </xf>
    <xf numFmtId="0" fontId="16" fillId="0" borderId="12" xfId="0" applyFont="1" applyBorder="1"/>
    <xf numFmtId="0" fontId="15" fillId="0" borderId="12" xfId="0" applyFont="1" applyBorder="1"/>
    <xf numFmtId="4" fontId="15" fillId="0" borderId="12" xfId="0" applyNumberFormat="1" applyFont="1" applyBorder="1"/>
    <xf numFmtId="0" fontId="17" fillId="0" borderId="0" xfId="0" applyFont="1"/>
    <xf numFmtId="0" fontId="16" fillId="0" borderId="0" xfId="0" applyFont="1"/>
    <xf numFmtId="4" fontId="16" fillId="0" borderId="0" xfId="0" applyNumberFormat="1" applyFont="1"/>
    <xf numFmtId="0" fontId="16" fillId="0" borderId="5" xfId="0" applyFont="1" applyBorder="1"/>
    <xf numFmtId="4" fontId="15" fillId="0" borderId="0" xfId="0" applyNumberFormat="1" applyFont="1"/>
    <xf numFmtId="0" fontId="18" fillId="0" borderId="6" xfId="0" applyFont="1" applyBorder="1"/>
    <xf numFmtId="4" fontId="18" fillId="0" borderId="12" xfId="0" applyNumberFormat="1" applyFont="1" applyBorder="1"/>
    <xf numFmtId="0" fontId="18" fillId="0" borderId="12" xfId="0" applyFont="1" applyBorder="1"/>
    <xf numFmtId="4" fontId="18" fillId="0" borderId="12" xfId="0" applyNumberFormat="1" applyFont="1" applyBorder="1" applyAlignment="1">
      <alignment horizontal="right"/>
    </xf>
    <xf numFmtId="0" fontId="20" fillId="0" borderId="0" xfId="0" applyFont="1"/>
    <xf numFmtId="0" fontId="20" fillId="0" borderId="0" xfId="0" applyFont="1" applyAlignment="1">
      <alignment wrapText="1"/>
    </xf>
    <xf numFmtId="0" fontId="19" fillId="0" borderId="2" xfId="0" applyFont="1" applyBorder="1" applyAlignment="1">
      <alignment horizontal="center" vertical="top"/>
    </xf>
    <xf numFmtId="0" fontId="19" fillId="0" borderId="2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/>
    </xf>
    <xf numFmtId="0" fontId="20" fillId="0" borderId="2" xfId="0" applyFont="1" applyBorder="1" applyAlignment="1">
      <alignment horizontal="center"/>
    </xf>
    <xf numFmtId="0" fontId="19" fillId="0" borderId="2" xfId="0" applyFont="1" applyBorder="1" applyAlignment="1"/>
    <xf numFmtId="0" fontId="20" fillId="0" borderId="2" xfId="0" applyFont="1" applyBorder="1" applyAlignment="1">
      <alignment horizontal="right" wrapText="1"/>
    </xf>
    <xf numFmtId="0" fontId="20" fillId="0" borderId="2" xfId="0" applyFont="1" applyBorder="1" applyAlignment="1">
      <alignment horizontal="right" wrapText="1"/>
    </xf>
    <xf numFmtId="3" fontId="20" fillId="0" borderId="2" xfId="0" applyNumberFormat="1" applyFont="1" applyBorder="1" applyAlignment="1">
      <alignment horizontal="right" wrapText="1"/>
    </xf>
    <xf numFmtId="0" fontId="20" fillId="0" borderId="2" xfId="0" applyFont="1" applyBorder="1"/>
    <xf numFmtId="0" fontId="19" fillId="0" borderId="2" xfId="0" applyFont="1" applyBorder="1"/>
    <xf numFmtId="3" fontId="19" fillId="0" borderId="2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2" fillId="9" borderId="13" xfId="0" applyFont="1" applyFill="1" applyBorder="1" applyAlignment="1">
      <alignment wrapText="1"/>
    </xf>
    <xf numFmtId="0" fontId="22" fillId="9" borderId="14" xfId="0" applyFont="1" applyFill="1" applyBorder="1" applyAlignment="1">
      <alignment horizontal="center" wrapText="1"/>
    </xf>
    <xf numFmtId="0" fontId="23" fillId="5" borderId="15" xfId="0" applyFont="1" applyFill="1" applyBorder="1" applyAlignment="1">
      <alignment wrapText="1"/>
    </xf>
    <xf numFmtId="0" fontId="24" fillId="0" borderId="16" xfId="0" applyFont="1" applyBorder="1" applyAlignment="1">
      <alignment horizontal="center" wrapText="1"/>
    </xf>
    <xf numFmtId="0" fontId="26" fillId="0" borderId="0" xfId="0" applyFont="1"/>
    <xf numFmtId="0" fontId="27" fillId="10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25" fillId="0" borderId="6" xfId="0" applyFont="1" applyBorder="1" applyAlignment="1">
      <alignment horizontal="center" vertical="top" wrapText="1"/>
    </xf>
    <xf numFmtId="0" fontId="25" fillId="0" borderId="12" xfId="0" applyFont="1" applyBorder="1" applyAlignment="1">
      <alignment horizontal="center" vertical="top" wrapText="1"/>
    </xf>
    <xf numFmtId="164" fontId="25" fillId="0" borderId="12" xfId="0" applyNumberFormat="1" applyFont="1" applyBorder="1" applyAlignment="1">
      <alignment horizontal="center" vertical="top" wrapText="1"/>
    </xf>
    <xf numFmtId="164" fontId="25" fillId="0" borderId="12" xfId="0" applyNumberFormat="1" applyFont="1" applyBorder="1" applyAlignment="1">
      <alignment vertical="top" wrapText="1"/>
    </xf>
    <xf numFmtId="0" fontId="29" fillId="2" borderId="0" xfId="0" applyFont="1" applyFill="1" applyAlignment="1">
      <alignment horizontal="center" wrapText="1"/>
    </xf>
    <xf numFmtId="0" fontId="29" fillId="2" borderId="0" xfId="0" applyFont="1" applyFill="1" applyAlignment="1">
      <alignment wrapText="1"/>
    </xf>
    <xf numFmtId="0" fontId="29" fillId="2" borderId="20" xfId="0" applyFont="1" applyFill="1" applyBorder="1" applyAlignment="1">
      <alignment horizontal="center" wrapText="1"/>
    </xf>
    <xf numFmtId="0" fontId="29" fillId="12" borderId="20" xfId="0" applyFont="1" applyFill="1" applyBorder="1" applyAlignment="1">
      <alignment horizontal="center" wrapText="1"/>
    </xf>
    <xf numFmtId="0" fontId="30" fillId="0" borderId="19" xfId="0" applyFont="1" applyBorder="1" applyAlignment="1"/>
    <xf numFmtId="0" fontId="26" fillId="0" borderId="12" xfId="0" applyFont="1" applyBorder="1" applyAlignment="1"/>
    <xf numFmtId="164" fontId="26" fillId="0" borderId="12" xfId="0" applyNumberFormat="1" applyFont="1" applyBorder="1" applyAlignment="1"/>
    <xf numFmtId="0" fontId="26" fillId="0" borderId="18" xfId="0" applyFont="1" applyBorder="1" applyAlignment="1"/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wrapText="1"/>
    </xf>
    <xf numFmtId="0" fontId="25" fillId="0" borderId="21" xfId="0" applyFont="1" applyBorder="1" applyAlignment="1">
      <alignment horizontal="center" wrapText="1"/>
    </xf>
    <xf numFmtId="0" fontId="25" fillId="0" borderId="22" xfId="0" applyFont="1" applyBorder="1" applyAlignment="1">
      <alignment horizontal="center" wrapText="1"/>
    </xf>
    <xf numFmtId="0" fontId="31" fillId="0" borderId="22" xfId="0" applyFont="1" applyBorder="1" applyAlignment="1">
      <alignment horizontal="center" wrapText="1"/>
    </xf>
    <xf numFmtId="0" fontId="32" fillId="8" borderId="6" xfId="0" applyFont="1" applyFill="1" applyBorder="1" applyAlignment="1"/>
    <xf numFmtId="0" fontId="28" fillId="0" borderId="12" xfId="0" applyFont="1" applyBorder="1" applyAlignment="1">
      <alignment horizontal="right"/>
    </xf>
    <xf numFmtId="0" fontId="32" fillId="0" borderId="12" xfId="0" applyFont="1" applyBorder="1" applyAlignment="1"/>
    <xf numFmtId="164" fontId="28" fillId="0" borderId="12" xfId="0" applyNumberFormat="1" applyFont="1" applyBorder="1" applyAlignment="1">
      <alignment horizontal="right"/>
    </xf>
    <xf numFmtId="164" fontId="28" fillId="0" borderId="12" xfId="0" applyNumberFormat="1" applyFont="1" applyBorder="1" applyAlignment="1"/>
    <xf numFmtId="0" fontId="25" fillId="0" borderId="17" xfId="0" applyFont="1" applyBorder="1" applyAlignment="1">
      <alignment horizontal="center" wrapText="1"/>
    </xf>
    <xf numFmtId="0" fontId="28" fillId="8" borderId="12" xfId="0" applyFont="1" applyFill="1" applyBorder="1" applyAlignment="1">
      <alignment horizontal="center" wrapText="1"/>
    </xf>
    <xf numFmtId="0" fontId="25" fillId="8" borderId="0" xfId="0" applyFont="1" applyFill="1" applyAlignment="1">
      <alignment horizontal="center" wrapText="1"/>
    </xf>
    <xf numFmtId="0" fontId="32" fillId="0" borderId="6" xfId="0" applyFont="1" applyBorder="1" applyAlignment="1"/>
    <xf numFmtId="0" fontId="26" fillId="0" borderId="0" xfId="0" applyFont="1" applyAlignment="1"/>
    <xf numFmtId="0" fontId="28" fillId="0" borderId="0" xfId="0" applyFont="1" applyAlignment="1">
      <alignment horizontal="right"/>
    </xf>
    <xf numFmtId="0" fontId="33" fillId="0" borderId="0" xfId="0" applyFont="1" applyAlignment="1">
      <alignment horizontal="center" wrapText="1"/>
    </xf>
    <xf numFmtId="0" fontId="29" fillId="2" borderId="0" xfId="0" applyFont="1" applyFill="1" applyAlignment="1"/>
    <xf numFmtId="0" fontId="28" fillId="0" borderId="0" xfId="0" applyFont="1" applyAlignment="1"/>
    <xf numFmtId="0" fontId="30" fillId="0" borderId="6" xfId="0" applyFont="1" applyBorder="1" applyAlignment="1"/>
    <xf numFmtId="0" fontId="25" fillId="0" borderId="12" xfId="0" applyFont="1" applyBorder="1" applyAlignment="1">
      <alignment horizontal="right"/>
    </xf>
    <xf numFmtId="0" fontId="25" fillId="0" borderId="12" xfId="0" applyFont="1" applyBorder="1" applyAlignment="1">
      <alignment horizontal="right"/>
    </xf>
    <xf numFmtId="164" fontId="25" fillId="0" borderId="12" xfId="0" applyNumberFormat="1" applyFont="1" applyBorder="1" applyAlignment="1"/>
    <xf numFmtId="164" fontId="25" fillId="0" borderId="0" xfId="0" applyNumberFormat="1" applyFont="1" applyAlignment="1">
      <alignment horizontal="center" wrapText="1"/>
    </xf>
    <xf numFmtId="164" fontId="25" fillId="13" borderId="12" xfId="0" applyNumberFormat="1" applyFont="1" applyFill="1" applyBorder="1" applyAlignment="1"/>
    <xf numFmtId="10" fontId="26" fillId="0" borderId="0" xfId="0" applyNumberFormat="1" applyFont="1"/>
    <xf numFmtId="0" fontId="29" fillId="2" borderId="23" xfId="0" applyFont="1" applyFill="1" applyBorder="1" applyAlignment="1">
      <alignment horizontal="center" vertical="center" wrapText="1"/>
    </xf>
    <xf numFmtId="0" fontId="32" fillId="0" borderId="23" xfId="0" applyFont="1" applyBorder="1" applyAlignment="1"/>
    <xf numFmtId="0" fontId="28" fillId="0" borderId="23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Font="1" applyAlignment="1"/>
    <xf numFmtId="0" fontId="7" fillId="3" borderId="3" xfId="0" applyFont="1" applyFill="1" applyBorder="1" applyAlignment="1">
      <alignment vertical="top" wrapText="1"/>
    </xf>
    <xf numFmtId="0" fontId="2" fillId="0" borderId="4" xfId="0" applyFont="1" applyBorder="1"/>
    <xf numFmtId="0" fontId="2" fillId="0" borderId="5" xfId="0" applyFont="1" applyBorder="1"/>
    <xf numFmtId="0" fontId="12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7" xfId="0" applyFont="1" applyBorder="1"/>
    <xf numFmtId="0" fontId="2" fillId="0" borderId="6" xfId="0" applyFont="1" applyBorder="1"/>
    <xf numFmtId="0" fontId="8" fillId="0" borderId="1" xfId="0" applyFont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29" fillId="2" borderId="0" xfId="0" applyFont="1" applyFill="1" applyAlignment="1">
      <alignment horizontal="center" wrapText="1"/>
    </xf>
    <xf numFmtId="0" fontId="30" fillId="14" borderId="24" xfId="0" applyFont="1" applyFill="1" applyBorder="1" applyAlignment="1"/>
    <xf numFmtId="0" fontId="2" fillId="0" borderId="25" xfId="0" applyFont="1" applyBorder="1"/>
    <xf numFmtId="0" fontId="2" fillId="0" borderId="26" xfId="0" applyFont="1" applyBorder="1"/>
    <xf numFmtId="0" fontId="25" fillId="0" borderId="0" xfId="0" applyFont="1" applyAlignment="1">
      <alignment horizontal="center" vertical="top" wrapText="1"/>
    </xf>
    <xf numFmtId="0" fontId="2" fillId="0" borderId="17" xfId="0" applyFont="1" applyBorder="1"/>
    <xf numFmtId="0" fontId="2" fillId="0" borderId="18" xfId="0" applyFont="1" applyBorder="1"/>
    <xf numFmtId="0" fontId="2" fillId="0" borderId="12" xfId="0" applyFont="1" applyBorder="1"/>
    <xf numFmtId="164" fontId="29" fillId="10" borderId="19" xfId="0" applyNumberFormat="1" applyFont="1" applyFill="1" applyBorder="1" applyAlignment="1">
      <alignment horizontal="center" wrapText="1"/>
    </xf>
    <xf numFmtId="0" fontId="29" fillId="11" borderId="0" xfId="0" applyFont="1" applyFill="1" applyAlignment="1">
      <alignment horizontal="center" wrapText="1"/>
    </xf>
    <xf numFmtId="10" fontId="28" fillId="0" borderId="19" xfId="0" applyNumberFormat="1" applyFont="1" applyBorder="1" applyAlignment="1"/>
    <xf numFmtId="10" fontId="25" fillId="0" borderId="19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796"/>
  <sheetViews>
    <sheetView workbookViewId="0">
      <selection sqref="A1:A2"/>
    </sheetView>
  </sheetViews>
  <sheetFormatPr defaultColWidth="14.42578125" defaultRowHeight="15" customHeight="1"/>
  <cols>
    <col min="1" max="1" width="5.140625" customWidth="1"/>
    <col min="2" max="2" width="17.7109375" customWidth="1"/>
    <col min="3" max="3" width="39.140625" customWidth="1"/>
    <col min="4" max="4" width="18.85546875" customWidth="1"/>
    <col min="5" max="5" width="15.42578125" hidden="1" customWidth="1"/>
    <col min="6" max="6" width="12.85546875" customWidth="1"/>
    <col min="7" max="7" width="9" customWidth="1"/>
    <col min="8" max="8" width="17.28515625" customWidth="1"/>
    <col min="9" max="9" width="7.140625" customWidth="1"/>
    <col min="10" max="10" width="6.42578125" customWidth="1"/>
    <col min="11" max="11" width="9" hidden="1" customWidth="1"/>
    <col min="12" max="12" width="10" hidden="1" customWidth="1"/>
    <col min="13" max="13" width="11" hidden="1" customWidth="1"/>
    <col min="14" max="14" width="12.85546875" hidden="1" customWidth="1"/>
    <col min="15" max="15" width="6.85546875" customWidth="1"/>
    <col min="16" max="16" width="17.42578125" customWidth="1"/>
    <col min="17" max="17" width="13.7109375" customWidth="1"/>
    <col min="18" max="18" width="9.28515625" customWidth="1"/>
    <col min="19" max="19" width="7.85546875" customWidth="1"/>
    <col min="20" max="20" width="0.42578125" customWidth="1"/>
    <col min="21" max="21" width="34.140625" customWidth="1"/>
    <col min="22" max="22" width="40.140625" customWidth="1"/>
    <col min="23" max="23" width="7.5703125" customWidth="1"/>
    <col min="24" max="30" width="14.42578125" customWidth="1"/>
  </cols>
  <sheetData>
    <row r="1" spans="1:30" ht="14.25" customHeight="1">
      <c r="A1" s="160" t="s">
        <v>0</v>
      </c>
      <c r="B1" s="161" t="s">
        <v>1</v>
      </c>
      <c r="C1" s="161" t="s">
        <v>2</v>
      </c>
      <c r="D1" s="161" t="s">
        <v>3</v>
      </c>
      <c r="E1" s="1" t="s">
        <v>4</v>
      </c>
      <c r="F1" s="161" t="s">
        <v>4</v>
      </c>
      <c r="G1" s="162" t="s">
        <v>5</v>
      </c>
      <c r="H1" s="151"/>
      <c r="I1" s="151"/>
      <c r="J1" s="152"/>
      <c r="K1" s="2"/>
      <c r="L1" s="2"/>
      <c r="M1" s="2"/>
      <c r="N1" s="3"/>
      <c r="O1" s="4"/>
      <c r="P1" s="148" t="s">
        <v>6</v>
      </c>
      <c r="Q1" s="149"/>
      <c r="R1" s="149"/>
      <c r="S1" s="5"/>
      <c r="T1" s="5"/>
      <c r="U1" s="6"/>
      <c r="V1" s="6"/>
      <c r="W1" s="6"/>
      <c r="X1" s="4"/>
      <c r="Y1" s="4"/>
      <c r="Z1" s="4"/>
      <c r="AA1" s="4"/>
      <c r="AB1" s="4"/>
      <c r="AC1" s="4"/>
      <c r="AD1" s="4"/>
    </row>
    <row r="2" spans="1:30" ht="14.25" customHeight="1">
      <c r="A2" s="157"/>
      <c r="B2" s="157"/>
      <c r="C2" s="157"/>
      <c r="D2" s="157"/>
      <c r="E2" s="7"/>
      <c r="F2" s="157"/>
      <c r="G2" s="8" t="s">
        <v>7</v>
      </c>
      <c r="H2" s="9" t="s">
        <v>8</v>
      </c>
      <c r="I2" s="9" t="s">
        <v>9</v>
      </c>
      <c r="J2" s="9" t="s">
        <v>10</v>
      </c>
      <c r="K2" s="2"/>
      <c r="L2" s="2"/>
      <c r="M2" s="2"/>
      <c r="N2" s="3"/>
      <c r="O2" s="4"/>
      <c r="P2" s="10" t="s">
        <v>11</v>
      </c>
      <c r="Q2" s="11" t="s">
        <v>12</v>
      </c>
      <c r="R2" s="12" t="s">
        <v>13</v>
      </c>
      <c r="S2" s="5"/>
      <c r="T2" s="5"/>
      <c r="U2" s="6"/>
      <c r="V2" s="6"/>
      <c r="W2" s="6"/>
      <c r="X2" s="4"/>
      <c r="Y2" s="4"/>
      <c r="Z2" s="4"/>
      <c r="AA2" s="4"/>
      <c r="AB2" s="4"/>
      <c r="AC2" s="4"/>
      <c r="AD2" s="4"/>
    </row>
    <row r="3" spans="1:30" ht="14.25" customHeight="1">
      <c r="A3" s="13">
        <v>1</v>
      </c>
      <c r="B3" s="155" t="s">
        <v>14</v>
      </c>
      <c r="C3" s="14" t="s">
        <v>15</v>
      </c>
      <c r="D3" s="15" t="s">
        <v>16</v>
      </c>
      <c r="E3" s="16"/>
      <c r="F3" s="15"/>
      <c r="G3" s="17">
        <v>1</v>
      </c>
      <c r="H3" s="18" t="s">
        <v>17</v>
      </c>
      <c r="I3" s="17">
        <f t="shared" ref="I3:I19" si="0">IF(H3="Simple",5,IF(H3="Average",10, IF(H3="Complex",15,0)))</f>
        <v>10</v>
      </c>
      <c r="J3" s="19">
        <f t="shared" ref="J3:J19" si="1">G3*I3</f>
        <v>10</v>
      </c>
      <c r="K3" s="20"/>
      <c r="L3" s="20"/>
      <c r="M3" s="20"/>
      <c r="N3" s="21"/>
      <c r="O3" s="4"/>
      <c r="P3" s="22" t="s">
        <v>18</v>
      </c>
      <c r="Q3" s="18" t="s">
        <v>19</v>
      </c>
      <c r="R3" s="22">
        <f t="shared" ref="R3:R9" si="2">IF(Q3="Complex",3,IF(Q3="Average",2, IF(Q3="Simple",1,0)))</f>
        <v>3</v>
      </c>
      <c r="S3" s="5"/>
      <c r="T3" s="5"/>
      <c r="U3" s="150" t="s">
        <v>6</v>
      </c>
      <c r="V3" s="151"/>
      <c r="W3" s="152"/>
      <c r="X3" s="4"/>
      <c r="Y3" s="4"/>
      <c r="Z3" s="4"/>
      <c r="AA3" s="4"/>
      <c r="AB3" s="4"/>
      <c r="AC3" s="4"/>
      <c r="AD3" s="4"/>
    </row>
    <row r="4" spans="1:30" ht="14.25" customHeight="1">
      <c r="A4" s="13">
        <v>2</v>
      </c>
      <c r="B4" s="156"/>
      <c r="C4" s="14" t="s">
        <v>20</v>
      </c>
      <c r="D4" s="15" t="s">
        <v>21</v>
      </c>
      <c r="E4" s="23"/>
      <c r="F4" s="15"/>
      <c r="G4" s="17">
        <v>1</v>
      </c>
      <c r="H4" s="18" t="s">
        <v>17</v>
      </c>
      <c r="I4" s="17">
        <f t="shared" si="0"/>
        <v>10</v>
      </c>
      <c r="J4" s="19">
        <f t="shared" si="1"/>
        <v>10</v>
      </c>
      <c r="K4" s="20"/>
      <c r="L4" s="20"/>
      <c r="M4" s="20"/>
      <c r="N4" s="21"/>
      <c r="O4" s="4"/>
      <c r="P4" s="22" t="s">
        <v>22</v>
      </c>
      <c r="Q4" s="18" t="s">
        <v>19</v>
      </c>
      <c r="R4" s="22">
        <f t="shared" si="2"/>
        <v>3</v>
      </c>
      <c r="S4" s="5"/>
      <c r="T4" s="5"/>
      <c r="U4" s="24" t="s">
        <v>23</v>
      </c>
      <c r="V4" s="24" t="s">
        <v>24</v>
      </c>
      <c r="W4" s="25" t="s">
        <v>25</v>
      </c>
      <c r="X4" s="4"/>
      <c r="Y4" s="4"/>
      <c r="Z4" s="4"/>
      <c r="AA4" s="4"/>
      <c r="AB4" s="4"/>
      <c r="AC4" s="4"/>
      <c r="AD4" s="4"/>
    </row>
    <row r="5" spans="1:30" ht="14.25" customHeight="1">
      <c r="A5" s="13">
        <v>3</v>
      </c>
      <c r="B5" s="156"/>
      <c r="C5" s="14" t="s">
        <v>26</v>
      </c>
      <c r="D5" s="26" t="s">
        <v>21</v>
      </c>
      <c r="E5" s="16"/>
      <c r="F5" s="15"/>
      <c r="G5" s="17">
        <v>1</v>
      </c>
      <c r="H5" s="18" t="s">
        <v>17</v>
      </c>
      <c r="I5" s="17">
        <f t="shared" si="0"/>
        <v>10</v>
      </c>
      <c r="J5" s="19">
        <f t="shared" si="1"/>
        <v>10</v>
      </c>
      <c r="K5" s="20"/>
      <c r="L5" s="20"/>
      <c r="M5" s="20"/>
      <c r="N5" s="21"/>
      <c r="O5" s="4"/>
      <c r="P5" s="27" t="s">
        <v>27</v>
      </c>
      <c r="Q5" s="18" t="s">
        <v>19</v>
      </c>
      <c r="R5" s="22">
        <f t="shared" si="2"/>
        <v>3</v>
      </c>
      <c r="S5" s="5"/>
      <c r="T5" s="5"/>
      <c r="U5" s="28" t="s">
        <v>28</v>
      </c>
      <c r="V5" s="29" t="s">
        <v>29</v>
      </c>
      <c r="W5" s="30">
        <v>1</v>
      </c>
      <c r="X5" s="4"/>
      <c r="Y5" s="4"/>
      <c r="Z5" s="4"/>
      <c r="AA5" s="4"/>
      <c r="AB5" s="4"/>
      <c r="AC5" s="4"/>
      <c r="AD5" s="4"/>
    </row>
    <row r="6" spans="1:30" ht="56.25">
      <c r="A6" s="13">
        <v>4</v>
      </c>
      <c r="B6" s="156"/>
      <c r="C6" s="14" t="s">
        <v>30</v>
      </c>
      <c r="D6" s="26" t="s">
        <v>21</v>
      </c>
      <c r="E6" s="16"/>
      <c r="F6" s="15"/>
      <c r="G6" s="17">
        <v>1</v>
      </c>
      <c r="H6" s="18" t="s">
        <v>17</v>
      </c>
      <c r="I6" s="17">
        <f t="shared" si="0"/>
        <v>10</v>
      </c>
      <c r="J6" s="19">
        <f t="shared" si="1"/>
        <v>10</v>
      </c>
      <c r="K6" s="20"/>
      <c r="L6" s="20"/>
      <c r="M6" s="20"/>
      <c r="N6" s="21"/>
      <c r="O6" s="4"/>
      <c r="P6" s="22" t="s">
        <v>31</v>
      </c>
      <c r="Q6" s="18" t="s">
        <v>19</v>
      </c>
      <c r="R6" s="22">
        <f t="shared" si="2"/>
        <v>3</v>
      </c>
      <c r="S6" s="5"/>
      <c r="T6" s="5"/>
      <c r="U6" s="28" t="s">
        <v>17</v>
      </c>
      <c r="V6" s="29" t="s">
        <v>32</v>
      </c>
      <c r="W6" s="30">
        <v>2</v>
      </c>
      <c r="X6" s="4"/>
      <c r="Y6" s="4"/>
      <c r="Z6" s="4"/>
      <c r="AA6" s="4"/>
      <c r="AB6" s="4"/>
      <c r="AC6" s="4"/>
      <c r="AD6" s="4"/>
    </row>
    <row r="7" spans="1:30" ht="19.5">
      <c r="A7" s="13">
        <v>5</v>
      </c>
      <c r="B7" s="156"/>
      <c r="C7" s="14" t="s">
        <v>33</v>
      </c>
      <c r="D7" s="15" t="s">
        <v>16</v>
      </c>
      <c r="E7" s="16"/>
      <c r="F7" s="15"/>
      <c r="G7" s="17">
        <v>1</v>
      </c>
      <c r="H7" s="18" t="s">
        <v>19</v>
      </c>
      <c r="I7" s="17">
        <f t="shared" si="0"/>
        <v>15</v>
      </c>
      <c r="J7" s="19">
        <f t="shared" si="1"/>
        <v>15</v>
      </c>
      <c r="K7" s="20"/>
      <c r="L7" s="20"/>
      <c r="M7" s="20"/>
      <c r="N7" s="21"/>
      <c r="O7" s="4"/>
      <c r="P7" s="22" t="s">
        <v>34</v>
      </c>
      <c r="Q7" s="18" t="s">
        <v>17</v>
      </c>
      <c r="R7" s="22">
        <f t="shared" si="2"/>
        <v>2</v>
      </c>
      <c r="S7" s="5"/>
      <c r="T7" s="5"/>
      <c r="U7" s="28" t="s">
        <v>19</v>
      </c>
      <c r="V7" s="29" t="s">
        <v>35</v>
      </c>
      <c r="W7" s="30">
        <v>3</v>
      </c>
      <c r="X7" s="4"/>
      <c r="Y7" s="4"/>
      <c r="Z7" s="4"/>
      <c r="AA7" s="4"/>
      <c r="AB7" s="4"/>
      <c r="AC7" s="4"/>
      <c r="AD7" s="4"/>
    </row>
    <row r="8" spans="1:30" ht="15.75" customHeight="1">
      <c r="A8" s="13">
        <v>6</v>
      </c>
      <c r="B8" s="157"/>
      <c r="C8" s="14" t="s">
        <v>36</v>
      </c>
      <c r="D8" s="26" t="s">
        <v>21</v>
      </c>
      <c r="E8" s="16"/>
      <c r="F8" s="15"/>
      <c r="G8" s="17">
        <v>1</v>
      </c>
      <c r="H8" s="18" t="s">
        <v>17</v>
      </c>
      <c r="I8" s="17">
        <f t="shared" si="0"/>
        <v>10</v>
      </c>
      <c r="J8" s="19">
        <f t="shared" si="1"/>
        <v>10</v>
      </c>
      <c r="K8" s="20"/>
      <c r="L8" s="20"/>
      <c r="M8" s="20"/>
      <c r="N8" s="21"/>
      <c r="O8" s="4"/>
      <c r="P8" s="22" t="s">
        <v>37</v>
      </c>
      <c r="Q8" s="18" t="s">
        <v>28</v>
      </c>
      <c r="R8" s="22">
        <f t="shared" si="2"/>
        <v>1</v>
      </c>
      <c r="S8" s="5"/>
      <c r="T8" s="5"/>
      <c r="X8" s="4"/>
      <c r="Y8" s="4"/>
      <c r="Z8" s="4"/>
      <c r="AA8" s="4"/>
      <c r="AB8" s="4"/>
      <c r="AC8" s="4"/>
      <c r="AD8" s="4"/>
    </row>
    <row r="9" spans="1:30" ht="14.25" customHeight="1">
      <c r="A9" s="13">
        <v>7</v>
      </c>
      <c r="B9" s="155" t="s">
        <v>38</v>
      </c>
      <c r="C9" s="31" t="s">
        <v>39</v>
      </c>
      <c r="D9" s="15" t="s">
        <v>16</v>
      </c>
      <c r="E9" s="4"/>
      <c r="F9" s="15"/>
      <c r="G9" s="17">
        <v>2</v>
      </c>
      <c r="H9" s="18" t="s">
        <v>19</v>
      </c>
      <c r="I9" s="17">
        <f t="shared" si="0"/>
        <v>15</v>
      </c>
      <c r="J9" s="19">
        <f t="shared" si="1"/>
        <v>30</v>
      </c>
      <c r="K9" s="20"/>
      <c r="L9" s="20"/>
      <c r="M9" s="20"/>
      <c r="N9" s="21"/>
      <c r="O9" s="32"/>
      <c r="P9" s="33" t="s">
        <v>40</v>
      </c>
      <c r="Q9" s="18" t="s">
        <v>28</v>
      </c>
      <c r="R9" s="22">
        <f t="shared" si="2"/>
        <v>1</v>
      </c>
      <c r="S9" s="5"/>
      <c r="T9" s="5"/>
      <c r="U9" s="4"/>
      <c r="V9" s="4"/>
      <c r="W9" s="4"/>
      <c r="X9" s="32"/>
      <c r="Y9" s="32"/>
      <c r="Z9" s="32"/>
      <c r="AA9" s="32"/>
      <c r="AB9" s="32"/>
      <c r="AC9" s="32"/>
      <c r="AD9" s="32"/>
    </row>
    <row r="10" spans="1:30" ht="14.25" customHeight="1">
      <c r="A10" s="13">
        <v>8</v>
      </c>
      <c r="B10" s="156"/>
      <c r="C10" s="15" t="s">
        <v>41</v>
      </c>
      <c r="D10" s="15" t="s">
        <v>16</v>
      </c>
      <c r="E10" s="16"/>
      <c r="F10" s="34"/>
      <c r="G10" s="17">
        <v>2</v>
      </c>
      <c r="H10" s="18" t="s">
        <v>19</v>
      </c>
      <c r="I10" s="17">
        <f t="shared" si="0"/>
        <v>15</v>
      </c>
      <c r="J10" s="19">
        <f t="shared" si="1"/>
        <v>30</v>
      </c>
      <c r="K10" s="20"/>
      <c r="L10" s="20"/>
      <c r="M10" s="20"/>
      <c r="N10" s="21"/>
      <c r="O10" s="32"/>
      <c r="P10" s="35" t="s">
        <v>42</v>
      </c>
      <c r="Q10" s="36">
        <f t="shared" ref="Q10:R10" si="3">SUM(Q3:Q8)</f>
        <v>0</v>
      </c>
      <c r="R10" s="37">
        <f t="shared" si="3"/>
        <v>15</v>
      </c>
      <c r="S10" s="38"/>
      <c r="T10" s="38"/>
      <c r="U10" s="150" t="s">
        <v>43</v>
      </c>
      <c r="V10" s="151"/>
      <c r="W10" s="152"/>
      <c r="X10" s="32"/>
      <c r="Y10" s="32"/>
      <c r="Z10" s="32"/>
      <c r="AA10" s="32"/>
      <c r="AB10" s="32"/>
      <c r="AC10" s="32"/>
      <c r="AD10" s="32"/>
    </row>
    <row r="11" spans="1:30" ht="14.25" customHeight="1">
      <c r="A11" s="13">
        <v>9</v>
      </c>
      <c r="B11" s="156"/>
      <c r="C11" s="15" t="s">
        <v>44</v>
      </c>
      <c r="D11" s="15" t="s">
        <v>16</v>
      </c>
      <c r="E11" s="16"/>
      <c r="F11" s="34"/>
      <c r="G11" s="17">
        <v>2</v>
      </c>
      <c r="H11" s="18" t="s">
        <v>19</v>
      </c>
      <c r="I11" s="17">
        <f t="shared" si="0"/>
        <v>15</v>
      </c>
      <c r="J11" s="19">
        <f t="shared" si="1"/>
        <v>30</v>
      </c>
      <c r="K11" s="39">
        <f t="shared" ref="K11:N11" si="4">I11*J11</f>
        <v>450</v>
      </c>
      <c r="L11" s="39">
        <f t="shared" si="4"/>
        <v>13500</v>
      </c>
      <c r="M11" s="39">
        <f t="shared" si="4"/>
        <v>6075000</v>
      </c>
      <c r="N11" s="39">
        <f t="shared" si="4"/>
        <v>82012500000</v>
      </c>
      <c r="O11" s="32"/>
      <c r="P11" s="4"/>
      <c r="Q11" s="4"/>
      <c r="R11" s="40"/>
      <c r="S11" s="40"/>
      <c r="T11" s="41"/>
      <c r="U11" s="42" t="s">
        <v>45</v>
      </c>
      <c r="V11" s="43" t="s">
        <v>46</v>
      </c>
      <c r="W11" s="44" t="s">
        <v>47</v>
      </c>
      <c r="X11" s="4"/>
      <c r="Y11" s="4"/>
      <c r="Z11" s="4"/>
      <c r="AA11" s="4"/>
      <c r="AB11" s="4"/>
      <c r="AC11" s="4"/>
      <c r="AD11" s="4"/>
    </row>
    <row r="12" spans="1:30" ht="27" customHeight="1">
      <c r="A12" s="13">
        <v>10</v>
      </c>
      <c r="B12" s="156"/>
      <c r="C12" s="14" t="s">
        <v>48</v>
      </c>
      <c r="D12" s="15" t="s">
        <v>16</v>
      </c>
      <c r="E12" s="16"/>
      <c r="F12" s="34"/>
      <c r="G12" s="17">
        <v>4</v>
      </c>
      <c r="H12" s="18" t="s">
        <v>19</v>
      </c>
      <c r="I12" s="17">
        <f t="shared" si="0"/>
        <v>15</v>
      </c>
      <c r="J12" s="19">
        <f t="shared" si="1"/>
        <v>60</v>
      </c>
      <c r="K12" s="20"/>
      <c r="L12" s="20"/>
      <c r="M12" s="20"/>
      <c r="N12" s="21"/>
      <c r="O12" s="4"/>
      <c r="P12" s="153" t="s">
        <v>49</v>
      </c>
      <c r="Q12" s="151"/>
      <c r="R12" s="152"/>
      <c r="S12" s="40"/>
      <c r="T12" s="41"/>
      <c r="U12" s="24"/>
      <c r="V12" s="24"/>
      <c r="W12" s="25"/>
      <c r="X12" s="4"/>
      <c r="Y12" s="4"/>
      <c r="Z12" s="4"/>
      <c r="AA12" s="4"/>
      <c r="AB12" s="4"/>
      <c r="AC12" s="4"/>
      <c r="AD12" s="4"/>
    </row>
    <row r="13" spans="1:30" ht="14.25" customHeight="1">
      <c r="A13" s="13"/>
      <c r="B13" s="156"/>
      <c r="C13" s="14" t="s">
        <v>50</v>
      </c>
      <c r="D13" s="15" t="s">
        <v>16</v>
      </c>
      <c r="E13" s="16"/>
      <c r="F13" s="34"/>
      <c r="G13" s="17">
        <v>1</v>
      </c>
      <c r="H13" s="18" t="s">
        <v>17</v>
      </c>
      <c r="I13" s="17">
        <f t="shared" si="0"/>
        <v>10</v>
      </c>
      <c r="J13" s="19">
        <f t="shared" si="1"/>
        <v>10</v>
      </c>
      <c r="K13" s="20"/>
      <c r="L13" s="20"/>
      <c r="M13" s="20"/>
      <c r="N13" s="21"/>
      <c r="O13" s="4"/>
      <c r="P13" s="45"/>
      <c r="Q13" s="45"/>
      <c r="R13" s="45"/>
      <c r="S13" s="46"/>
      <c r="T13" s="47"/>
      <c r="U13" s="48"/>
      <c r="V13" s="48"/>
      <c r="W13" s="49"/>
      <c r="X13" s="4"/>
      <c r="Y13" s="4"/>
      <c r="Z13" s="4"/>
      <c r="AA13" s="4"/>
      <c r="AB13" s="4"/>
      <c r="AC13" s="4"/>
      <c r="AD13" s="4"/>
    </row>
    <row r="14" spans="1:30" ht="14.25" customHeight="1">
      <c r="A14" s="13">
        <v>11</v>
      </c>
      <c r="B14" s="156"/>
      <c r="C14" s="14" t="s">
        <v>51</v>
      </c>
      <c r="D14" s="15" t="s">
        <v>16</v>
      </c>
      <c r="E14" s="16"/>
      <c r="F14" s="34"/>
      <c r="G14" s="17">
        <v>1</v>
      </c>
      <c r="H14" s="18" t="s">
        <v>17</v>
      </c>
      <c r="I14" s="17">
        <f t="shared" si="0"/>
        <v>10</v>
      </c>
      <c r="J14" s="19">
        <f t="shared" si="1"/>
        <v>10</v>
      </c>
      <c r="K14" s="20"/>
      <c r="L14" s="20"/>
      <c r="M14" s="20"/>
      <c r="N14" s="21"/>
      <c r="O14" s="4"/>
      <c r="P14" s="154">
        <f>J21+R10</f>
        <v>310</v>
      </c>
      <c r="Q14" s="151"/>
      <c r="R14" s="152"/>
      <c r="S14" s="46"/>
      <c r="T14" s="47"/>
      <c r="U14" s="48" t="s">
        <v>28</v>
      </c>
      <c r="V14" s="48" t="s">
        <v>52</v>
      </c>
      <c r="W14" s="49">
        <v>5</v>
      </c>
      <c r="X14" s="4"/>
      <c r="Y14" s="4"/>
      <c r="Z14" s="4"/>
      <c r="AA14" s="4"/>
      <c r="AB14" s="4"/>
      <c r="AC14" s="4"/>
      <c r="AD14" s="4"/>
    </row>
    <row r="15" spans="1:30" ht="14.25" customHeight="1">
      <c r="A15" s="13"/>
      <c r="B15" s="156"/>
      <c r="C15" s="14" t="s">
        <v>53</v>
      </c>
      <c r="D15" s="31" t="s">
        <v>21</v>
      </c>
      <c r="E15" s="16"/>
      <c r="F15" s="34"/>
      <c r="G15" s="17">
        <v>2</v>
      </c>
      <c r="H15" s="18" t="s">
        <v>28</v>
      </c>
      <c r="I15" s="17">
        <f t="shared" si="0"/>
        <v>5</v>
      </c>
      <c r="J15" s="19">
        <f t="shared" si="1"/>
        <v>10</v>
      </c>
      <c r="K15" s="20"/>
      <c r="L15" s="20"/>
      <c r="M15" s="20"/>
      <c r="N15" s="21"/>
      <c r="O15" s="4"/>
      <c r="P15" s="4"/>
      <c r="Q15" s="4"/>
      <c r="R15" s="46"/>
      <c r="S15" s="46"/>
      <c r="T15" s="47"/>
      <c r="U15" s="48"/>
      <c r="V15" s="48"/>
      <c r="W15" s="49"/>
      <c r="X15" s="4"/>
      <c r="Y15" s="4"/>
      <c r="Z15" s="4"/>
      <c r="AA15" s="4"/>
      <c r="AB15" s="4"/>
      <c r="AC15" s="4"/>
      <c r="AD15" s="4"/>
    </row>
    <row r="16" spans="1:30" ht="14.25" customHeight="1">
      <c r="A16" s="13">
        <v>12</v>
      </c>
      <c r="B16" s="157"/>
      <c r="C16" s="14" t="s">
        <v>54</v>
      </c>
      <c r="D16" s="15" t="s">
        <v>16</v>
      </c>
      <c r="E16" s="16"/>
      <c r="F16" s="34"/>
      <c r="G16" s="17">
        <v>4</v>
      </c>
      <c r="H16" s="18" t="s">
        <v>28</v>
      </c>
      <c r="I16" s="17">
        <f t="shared" si="0"/>
        <v>5</v>
      </c>
      <c r="J16" s="19">
        <f t="shared" si="1"/>
        <v>20</v>
      </c>
      <c r="K16" s="20"/>
      <c r="L16" s="20"/>
      <c r="M16" s="20"/>
      <c r="N16" s="21"/>
      <c r="O16" s="4"/>
      <c r="P16" s="4"/>
      <c r="Q16" s="4"/>
      <c r="R16" s="46"/>
      <c r="S16" s="46"/>
      <c r="T16" s="47"/>
      <c r="U16" s="48" t="s">
        <v>17</v>
      </c>
      <c r="V16" s="48" t="s">
        <v>55</v>
      </c>
      <c r="W16" s="49">
        <v>10</v>
      </c>
      <c r="X16" s="4"/>
      <c r="Y16" s="4"/>
      <c r="Z16" s="4"/>
      <c r="AA16" s="4"/>
      <c r="AB16" s="4"/>
      <c r="AC16" s="4"/>
      <c r="AD16" s="4"/>
    </row>
    <row r="17" spans="1:30" ht="14.25" customHeight="1">
      <c r="A17" s="13">
        <v>13</v>
      </c>
      <c r="B17" s="158" t="s">
        <v>56</v>
      </c>
      <c r="C17" s="15" t="s">
        <v>57</v>
      </c>
      <c r="D17" s="31" t="s">
        <v>21</v>
      </c>
      <c r="E17" s="16"/>
      <c r="F17" s="15"/>
      <c r="G17" s="17">
        <v>2</v>
      </c>
      <c r="H17" s="18" t="s">
        <v>17</v>
      </c>
      <c r="I17" s="17">
        <f t="shared" si="0"/>
        <v>10</v>
      </c>
      <c r="J17" s="19">
        <f t="shared" si="1"/>
        <v>20</v>
      </c>
      <c r="K17" s="20"/>
      <c r="L17" s="20"/>
      <c r="M17" s="20"/>
      <c r="N17" s="21"/>
      <c r="O17" s="4"/>
      <c r="P17" s="4"/>
      <c r="Q17" s="4"/>
      <c r="R17" s="46"/>
      <c r="S17" s="46"/>
      <c r="T17" s="47"/>
      <c r="U17" s="48" t="s">
        <v>19</v>
      </c>
      <c r="V17" s="48" t="s">
        <v>58</v>
      </c>
      <c r="W17" s="49">
        <v>15</v>
      </c>
      <c r="X17" s="4"/>
      <c r="Y17" s="4"/>
      <c r="Z17" s="4"/>
      <c r="AA17" s="4"/>
      <c r="AB17" s="4"/>
      <c r="AC17" s="4"/>
      <c r="AD17" s="4"/>
    </row>
    <row r="18" spans="1:30" ht="14.25" customHeight="1">
      <c r="A18" s="13">
        <v>14</v>
      </c>
      <c r="B18" s="156"/>
      <c r="C18" s="15" t="s">
        <v>59</v>
      </c>
      <c r="D18" s="31" t="s">
        <v>21</v>
      </c>
      <c r="E18" s="16"/>
      <c r="F18" s="15"/>
      <c r="G18" s="17">
        <v>1</v>
      </c>
      <c r="H18" s="18" t="s">
        <v>28</v>
      </c>
      <c r="I18" s="17">
        <f t="shared" si="0"/>
        <v>5</v>
      </c>
      <c r="J18" s="19">
        <f t="shared" si="1"/>
        <v>5</v>
      </c>
      <c r="K18" s="20"/>
      <c r="L18" s="20"/>
      <c r="M18" s="20"/>
      <c r="N18" s="21"/>
      <c r="O18" s="4"/>
      <c r="P18" s="4"/>
      <c r="Q18" s="4"/>
      <c r="R18" s="46"/>
      <c r="S18" s="46"/>
      <c r="T18" s="50"/>
      <c r="U18" s="51"/>
      <c r="V18" s="51"/>
      <c r="W18" s="52"/>
      <c r="X18" s="4"/>
      <c r="Y18" s="4"/>
      <c r="Z18" s="4"/>
      <c r="AA18" s="4"/>
      <c r="AB18" s="4"/>
      <c r="AC18" s="4"/>
      <c r="AD18" s="4"/>
    </row>
    <row r="19" spans="1:30" ht="14.25" customHeight="1">
      <c r="A19" s="13">
        <v>15</v>
      </c>
      <c r="B19" s="157"/>
      <c r="C19" s="15" t="s">
        <v>60</v>
      </c>
      <c r="D19" s="31" t="s">
        <v>21</v>
      </c>
      <c r="E19" s="16"/>
      <c r="F19" s="15"/>
      <c r="G19" s="17">
        <v>1</v>
      </c>
      <c r="H19" s="18" t="s">
        <v>28</v>
      </c>
      <c r="I19" s="17">
        <f t="shared" si="0"/>
        <v>5</v>
      </c>
      <c r="J19" s="19">
        <f t="shared" si="1"/>
        <v>5</v>
      </c>
      <c r="K19" s="20"/>
      <c r="L19" s="20"/>
      <c r="M19" s="20"/>
      <c r="N19" s="21"/>
      <c r="O19" s="4"/>
      <c r="P19" s="4"/>
      <c r="Q19" s="4"/>
      <c r="R19" s="46"/>
      <c r="S19" s="46"/>
      <c r="T19" s="50"/>
      <c r="U19" s="50"/>
      <c r="V19" s="50"/>
      <c r="W19" s="53"/>
      <c r="X19" s="4"/>
      <c r="Y19" s="4"/>
      <c r="Z19" s="4"/>
      <c r="AA19" s="4"/>
      <c r="AB19" s="4"/>
      <c r="AC19" s="4"/>
      <c r="AD19" s="4"/>
    </row>
    <row r="20" spans="1:30" ht="14.25" customHeight="1">
      <c r="A20" s="54"/>
      <c r="B20" s="14"/>
      <c r="C20" s="14"/>
      <c r="D20" s="15"/>
      <c r="E20" s="16"/>
      <c r="F20" s="15"/>
      <c r="G20" s="55"/>
      <c r="H20" s="55"/>
      <c r="I20" s="17"/>
      <c r="J20" s="19"/>
      <c r="K20" s="20"/>
      <c r="L20" s="20"/>
      <c r="M20" s="20"/>
      <c r="N20" s="21"/>
      <c r="O20" s="4"/>
      <c r="P20" s="4"/>
      <c r="Q20" s="4"/>
      <c r="R20" s="46"/>
      <c r="S20" s="46"/>
      <c r="T20" s="46"/>
      <c r="U20" s="46"/>
      <c r="V20" s="46"/>
      <c r="W20" s="56"/>
      <c r="X20" s="4"/>
      <c r="Y20" s="4"/>
      <c r="Z20" s="4"/>
      <c r="AA20" s="4"/>
      <c r="AB20" s="4"/>
      <c r="AC20" s="4"/>
      <c r="AD20" s="4"/>
    </row>
    <row r="21" spans="1:30" ht="14.25" customHeight="1">
      <c r="A21" s="159" t="s">
        <v>42</v>
      </c>
      <c r="B21" s="151"/>
      <c r="C21" s="151"/>
      <c r="D21" s="151"/>
      <c r="E21" s="151"/>
      <c r="F21" s="152"/>
      <c r="G21" s="57"/>
      <c r="H21" s="57"/>
      <c r="I21" s="57"/>
      <c r="J21" s="57">
        <f>SUM(J3:J19)</f>
        <v>295</v>
      </c>
      <c r="K21" s="20" t="e">
        <f>(#REF!+J21)*0.87*0.77</f>
        <v>#REF!</v>
      </c>
      <c r="L21" s="20" t="e">
        <f>K21*20</f>
        <v>#REF!</v>
      </c>
      <c r="M21" s="20" t="e">
        <f>L21/8</f>
        <v>#REF!</v>
      </c>
      <c r="N21" s="21" t="e">
        <f>M21/22</f>
        <v>#REF!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ht="14.25" customHeight="1">
      <c r="A22" s="58"/>
      <c r="B22" s="4"/>
      <c r="C22" s="4"/>
      <c r="D22" s="59"/>
      <c r="E22" s="4"/>
      <c r="F22" s="60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</row>
    <row r="23" spans="1:30" ht="14.25" customHeight="1">
      <c r="A23" s="58"/>
      <c r="B23" s="4"/>
      <c r="C23" s="4"/>
      <c r="D23" s="59"/>
      <c r="E23" s="4"/>
      <c r="F23" s="6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ht="54" customHeight="1">
      <c r="A24" s="58"/>
      <c r="B24" s="4"/>
      <c r="C24" s="4"/>
      <c r="D24" s="59"/>
      <c r="E24" s="4"/>
      <c r="F24" s="60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62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ht="14.25" customHeight="1">
      <c r="A25" s="58"/>
      <c r="B25" s="4"/>
      <c r="C25" s="4"/>
      <c r="D25" s="59"/>
      <c r="E25" s="4"/>
      <c r="F25" s="60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63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ht="14.25" customHeight="1">
      <c r="A26" s="58"/>
      <c r="B26" s="4"/>
      <c r="C26" s="4"/>
      <c r="D26" s="59"/>
      <c r="E26" s="4"/>
      <c r="F26" s="60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32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ht="14.25" customHeight="1">
      <c r="A27" s="58"/>
      <c r="B27" s="4"/>
      <c r="C27" s="4"/>
      <c r="D27" s="59"/>
      <c r="E27" s="4"/>
      <c r="F27" s="6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32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ht="14.25" customHeight="1">
      <c r="A28" s="58"/>
      <c r="B28" s="4"/>
      <c r="C28" s="4"/>
      <c r="D28" s="59"/>
      <c r="E28" s="4"/>
      <c r="F28" s="60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32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ht="14.25" customHeight="1">
      <c r="A29" s="58"/>
      <c r="B29" s="4"/>
      <c r="C29" s="4"/>
      <c r="D29" s="59"/>
      <c r="E29" s="4"/>
      <c r="F29" s="60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32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 spans="1:30" ht="14.25" customHeight="1">
      <c r="A30" s="58"/>
      <c r="B30" s="4"/>
      <c r="C30" s="4"/>
      <c r="D30" s="59"/>
      <c r="E30" s="4"/>
      <c r="F30" s="60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32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ht="14.25" customHeight="1">
      <c r="A31" s="58"/>
      <c r="B31" s="4"/>
      <c r="C31" s="4"/>
      <c r="D31" s="59"/>
      <c r="E31" s="4"/>
      <c r="F31" s="60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32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ht="14.25" customHeight="1">
      <c r="A32" s="58"/>
      <c r="B32" s="4"/>
      <c r="C32" s="4"/>
      <c r="D32" s="59"/>
      <c r="E32" s="4"/>
      <c r="F32" s="60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32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ht="14.25" customHeight="1">
      <c r="A33" s="58"/>
      <c r="B33" s="4"/>
      <c r="C33" s="4"/>
      <c r="D33" s="59"/>
      <c r="E33" s="4"/>
      <c r="F33" s="60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32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spans="1:30" ht="14.25" customHeight="1">
      <c r="A34" s="58"/>
      <c r="B34" s="4"/>
      <c r="C34" s="4"/>
      <c r="D34" s="59"/>
      <c r="E34" s="4"/>
      <c r="F34" s="60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32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ht="14.25" customHeight="1">
      <c r="A35" s="58"/>
      <c r="B35" s="4"/>
      <c r="C35" s="4"/>
      <c r="D35" s="59"/>
      <c r="E35" s="4"/>
      <c r="F35" s="6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32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 spans="1:30" ht="14.25" customHeight="1">
      <c r="A36" s="58"/>
      <c r="B36" s="4"/>
      <c r="C36" s="4"/>
      <c r="D36" s="59"/>
      <c r="E36" s="4"/>
      <c r="F36" s="60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32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 spans="1:30" ht="14.25" customHeight="1">
      <c r="A37" s="58"/>
      <c r="B37" s="4"/>
      <c r="C37" s="4"/>
      <c r="D37" s="59"/>
      <c r="E37" s="4"/>
      <c r="F37" s="6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ht="14.25" customHeight="1">
      <c r="A38" s="58"/>
      <c r="B38" s="4"/>
      <c r="C38" s="4"/>
      <c r="D38" s="59"/>
      <c r="E38" s="4"/>
      <c r="F38" s="60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ht="14.25" customHeight="1">
      <c r="A39" s="58"/>
      <c r="B39" s="4"/>
      <c r="C39" s="4"/>
      <c r="D39" s="59"/>
      <c r="E39" s="4"/>
      <c r="F39" s="6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ht="14.25" customHeight="1">
      <c r="A40" s="58"/>
      <c r="B40" s="4"/>
      <c r="C40" s="4"/>
      <c r="D40" s="59"/>
      <c r="E40" s="4"/>
      <c r="F40" s="60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ht="14.25" customHeight="1">
      <c r="A41" s="58"/>
      <c r="B41" s="4"/>
      <c r="C41" s="4"/>
      <c r="D41" s="59"/>
      <c r="E41" s="4"/>
      <c r="F41" s="6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ht="14.25" customHeight="1">
      <c r="A42" s="58"/>
      <c r="B42" s="4"/>
      <c r="C42" s="4"/>
      <c r="D42" s="59"/>
      <c r="E42" s="4"/>
      <c r="F42" s="6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ht="14.25" customHeight="1">
      <c r="A43" s="58"/>
      <c r="B43" s="4"/>
      <c r="C43" s="4"/>
      <c r="D43" s="59"/>
      <c r="E43" s="4"/>
      <c r="F43" s="60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ht="14.25" customHeight="1">
      <c r="A44" s="58"/>
      <c r="B44" s="4"/>
      <c r="C44" s="4"/>
      <c r="D44" s="59"/>
      <c r="E44" s="4"/>
      <c r="F44" s="60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 spans="1:30" ht="14.25" customHeight="1">
      <c r="A45" s="58"/>
      <c r="B45" s="4"/>
      <c r="C45" s="4"/>
      <c r="D45" s="59"/>
      <c r="E45" s="4"/>
      <c r="F45" s="60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 spans="1:30" ht="14.25" customHeight="1">
      <c r="A46" s="58"/>
      <c r="B46" s="4"/>
      <c r="C46" s="4"/>
      <c r="D46" s="59"/>
      <c r="E46" s="4"/>
      <c r="F46" s="6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 spans="1:30" ht="14.25" customHeight="1">
      <c r="A47" s="58"/>
      <c r="B47" s="4"/>
      <c r="C47" s="4"/>
      <c r="D47" s="59"/>
      <c r="E47" s="4"/>
      <c r="F47" s="60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 spans="1:30" ht="14.25" customHeight="1">
      <c r="A48" s="58"/>
      <c r="B48" s="4"/>
      <c r="C48" s="4"/>
      <c r="D48" s="59"/>
      <c r="E48" s="4"/>
      <c r="F48" s="60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 spans="1:30" ht="14.25" customHeight="1">
      <c r="A49" s="58"/>
      <c r="B49" s="4"/>
      <c r="C49" s="4"/>
      <c r="D49" s="59"/>
      <c r="E49" s="4"/>
      <c r="F49" s="60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 spans="1:30" ht="14.25" customHeight="1">
      <c r="A50" s="58"/>
      <c r="B50" s="4"/>
      <c r="C50" s="4"/>
      <c r="D50" s="59"/>
      <c r="E50" s="4"/>
      <c r="F50" s="60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 spans="1:30" ht="14.25" customHeight="1">
      <c r="A51" s="58"/>
      <c r="B51" s="4"/>
      <c r="C51" s="4"/>
      <c r="D51" s="59"/>
      <c r="E51" s="4"/>
      <c r="F51" s="6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 spans="1:30" ht="14.25" customHeight="1">
      <c r="A52" s="58"/>
      <c r="B52" s="4"/>
      <c r="C52" s="4"/>
      <c r="D52" s="59"/>
      <c r="E52" s="4"/>
      <c r="F52" s="6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 spans="1:30" ht="14.25" customHeight="1">
      <c r="A53" s="58"/>
      <c r="B53" s="4"/>
      <c r="C53" s="4"/>
      <c r="D53" s="59"/>
      <c r="E53" s="4"/>
      <c r="F53" s="6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4.25" customHeight="1">
      <c r="A54" s="58"/>
      <c r="B54" s="4"/>
      <c r="C54" s="4"/>
      <c r="D54" s="59"/>
      <c r="E54" s="4"/>
      <c r="F54" s="6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 spans="1:30" ht="14.25" customHeight="1">
      <c r="A55" s="58"/>
      <c r="B55" s="4"/>
      <c r="C55" s="4"/>
      <c r="D55" s="59"/>
      <c r="E55" s="4"/>
      <c r="F55" s="6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 spans="1:30" ht="14.25" customHeight="1">
      <c r="A56" s="58"/>
      <c r="B56" s="4"/>
      <c r="C56" s="4"/>
      <c r="D56" s="59"/>
      <c r="E56" s="4"/>
      <c r="F56" s="6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 spans="1:30" ht="14.25" customHeight="1">
      <c r="A57" s="58"/>
      <c r="B57" s="4"/>
      <c r="C57" s="4"/>
      <c r="D57" s="59"/>
      <c r="E57" s="4"/>
      <c r="F57" s="6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 spans="1:30" ht="14.25" customHeight="1">
      <c r="A58" s="58"/>
      <c r="B58" s="4"/>
      <c r="C58" s="4"/>
      <c r="D58" s="59"/>
      <c r="E58" s="4"/>
      <c r="F58" s="6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 spans="1:30" ht="14.25" customHeight="1">
      <c r="A59" s="58"/>
      <c r="B59" s="4"/>
      <c r="C59" s="4"/>
      <c r="D59" s="59"/>
      <c r="E59" s="4"/>
      <c r="F59" s="6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 spans="1:30" ht="14.25" customHeight="1">
      <c r="A60" s="58"/>
      <c r="B60" s="4"/>
      <c r="C60" s="4"/>
      <c r="D60" s="59"/>
      <c r="E60" s="4"/>
      <c r="F60" s="6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 spans="1:30" ht="14.25" customHeight="1">
      <c r="A61" s="58"/>
      <c r="B61" s="4"/>
      <c r="C61" s="4"/>
      <c r="D61" s="59"/>
      <c r="E61" s="4"/>
      <c r="F61" s="6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 spans="1:30" ht="14.25" customHeight="1">
      <c r="A62" s="58"/>
      <c r="B62" s="4"/>
      <c r="C62" s="4"/>
      <c r="D62" s="59"/>
      <c r="E62" s="4"/>
      <c r="F62" s="6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 spans="1:30" ht="14.25" customHeight="1">
      <c r="A63" s="58"/>
      <c r="B63" s="4"/>
      <c r="C63" s="4"/>
      <c r="D63" s="59"/>
      <c r="E63" s="4"/>
      <c r="F63" s="6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 spans="1:30" ht="14.25" customHeight="1">
      <c r="A64" s="58"/>
      <c r="B64" s="4"/>
      <c r="C64" s="4"/>
      <c r="D64" s="59"/>
      <c r="E64" s="4"/>
      <c r="F64" s="6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 spans="1:30" ht="14.25" customHeight="1">
      <c r="A65" s="58"/>
      <c r="B65" s="4"/>
      <c r="C65" s="4"/>
      <c r="D65" s="59"/>
      <c r="E65" s="4"/>
      <c r="F65" s="6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 spans="1:30" ht="14.25" customHeight="1">
      <c r="A66" s="58"/>
      <c r="B66" s="4"/>
      <c r="C66" s="4"/>
      <c r="D66" s="59"/>
      <c r="E66" s="4"/>
      <c r="F66" s="6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 spans="1:30" ht="14.25" customHeight="1">
      <c r="A67" s="58"/>
      <c r="B67" s="4"/>
      <c r="C67" s="4"/>
      <c r="D67" s="59"/>
      <c r="E67" s="4"/>
      <c r="F67" s="6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 spans="1:30" ht="14.25" customHeight="1">
      <c r="A68" s="58"/>
      <c r="B68" s="4"/>
      <c r="C68" s="4"/>
      <c r="D68" s="59"/>
      <c r="E68" s="4"/>
      <c r="F68" s="6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 spans="1:30" ht="14.25" customHeight="1">
      <c r="A69" s="58"/>
      <c r="B69" s="4"/>
      <c r="C69" s="4"/>
      <c r="D69" s="59"/>
      <c r="E69" s="4"/>
      <c r="F69" s="6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 spans="1:30" ht="14.25" customHeight="1">
      <c r="A70" s="58"/>
      <c r="B70" s="4"/>
      <c r="C70" s="4"/>
      <c r="D70" s="59"/>
      <c r="E70" s="4"/>
      <c r="F70" s="6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 spans="1:30" ht="14.25" customHeight="1">
      <c r="A71" s="58"/>
      <c r="B71" s="4"/>
      <c r="C71" s="4"/>
      <c r="D71" s="59"/>
      <c r="E71" s="4"/>
      <c r="F71" s="6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 spans="1:30" ht="14.25" customHeight="1">
      <c r="A72" s="58"/>
      <c r="B72" s="4"/>
      <c r="C72" s="4"/>
      <c r="D72" s="59"/>
      <c r="E72" s="4"/>
      <c r="F72" s="6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 spans="1:30" ht="14.25" customHeight="1">
      <c r="A73" s="58"/>
      <c r="B73" s="4"/>
      <c r="C73" s="4"/>
      <c r="D73" s="59"/>
      <c r="E73" s="4"/>
      <c r="F73" s="6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 spans="1:30" ht="14.25" customHeight="1">
      <c r="A74" s="58"/>
      <c r="B74" s="4"/>
      <c r="C74" s="4"/>
      <c r="D74" s="59"/>
      <c r="E74" s="4"/>
      <c r="F74" s="6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 spans="1:30" ht="14.25" customHeight="1">
      <c r="A75" s="58"/>
      <c r="B75" s="4"/>
      <c r="C75" s="4"/>
      <c r="D75" s="59"/>
      <c r="E75" s="4"/>
      <c r="F75" s="6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 spans="1:30" ht="14.25" customHeight="1">
      <c r="A76" s="58"/>
      <c r="B76" s="4"/>
      <c r="C76" s="4"/>
      <c r="D76" s="59"/>
      <c r="E76" s="4"/>
      <c r="F76" s="6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 spans="1:30" ht="14.25" customHeight="1">
      <c r="A77" s="58"/>
      <c r="B77" s="4"/>
      <c r="C77" s="4"/>
      <c r="D77" s="59"/>
      <c r="E77" s="4"/>
      <c r="F77" s="6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 spans="1:30" ht="14.25" customHeight="1">
      <c r="A78" s="58"/>
      <c r="B78" s="4"/>
      <c r="C78" s="4"/>
      <c r="D78" s="59"/>
      <c r="E78" s="4"/>
      <c r="F78" s="6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 spans="1:30" ht="14.25" customHeight="1">
      <c r="A79" s="58"/>
      <c r="B79" s="4"/>
      <c r="C79" s="4"/>
      <c r="D79" s="59"/>
      <c r="E79" s="4"/>
      <c r="F79" s="6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 spans="1:30" ht="14.25" customHeight="1">
      <c r="A80" s="58"/>
      <c r="B80" s="4"/>
      <c r="C80" s="4"/>
      <c r="D80" s="59"/>
      <c r="E80" s="4"/>
      <c r="F80" s="6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 spans="1:30" ht="14.25" customHeight="1">
      <c r="A81" s="58"/>
      <c r="B81" s="4"/>
      <c r="C81" s="4"/>
      <c r="D81" s="59"/>
      <c r="E81" s="4"/>
      <c r="F81" s="6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 spans="1:30" ht="14.25" customHeight="1">
      <c r="A82" s="58"/>
      <c r="B82" s="4"/>
      <c r="C82" s="4"/>
      <c r="D82" s="59"/>
      <c r="E82" s="4"/>
      <c r="F82" s="6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 spans="1:30" ht="14.25" customHeight="1">
      <c r="A83" s="58"/>
      <c r="B83" s="4"/>
      <c r="C83" s="4"/>
      <c r="D83" s="59"/>
      <c r="E83" s="4"/>
      <c r="F83" s="6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 spans="1:30" ht="14.25" customHeight="1">
      <c r="A84" s="58"/>
      <c r="B84" s="4"/>
      <c r="C84" s="4"/>
      <c r="D84" s="59"/>
      <c r="E84" s="4"/>
      <c r="F84" s="6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 spans="1:30" ht="14.25" customHeight="1">
      <c r="A85" s="58"/>
      <c r="B85" s="4"/>
      <c r="C85" s="4"/>
      <c r="D85" s="59"/>
      <c r="E85" s="4"/>
      <c r="F85" s="6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 spans="1:30" ht="14.25" customHeight="1">
      <c r="A86" s="58"/>
      <c r="B86" s="4"/>
      <c r="C86" s="4"/>
      <c r="D86" s="59"/>
      <c r="E86" s="4"/>
      <c r="F86" s="6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 spans="1:30" ht="14.25" customHeight="1">
      <c r="A87" s="58"/>
      <c r="B87" s="4"/>
      <c r="C87" s="4"/>
      <c r="D87" s="59"/>
      <c r="E87" s="4"/>
      <c r="F87" s="6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 spans="1:30" ht="14.25" customHeight="1">
      <c r="A88" s="58"/>
      <c r="B88" s="4"/>
      <c r="C88" s="4"/>
      <c r="D88" s="59"/>
      <c r="E88" s="4"/>
      <c r="F88" s="6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 spans="1:30" ht="14.25" customHeight="1">
      <c r="A89" s="58"/>
      <c r="B89" s="4"/>
      <c r="C89" s="4"/>
      <c r="D89" s="59"/>
      <c r="E89" s="4"/>
      <c r="F89" s="6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 spans="1:30" ht="14.25" customHeight="1">
      <c r="A90" s="58"/>
      <c r="B90" s="4"/>
      <c r="C90" s="4"/>
      <c r="D90" s="59"/>
      <c r="E90" s="4"/>
      <c r="F90" s="6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 spans="1:30" ht="14.25" customHeight="1">
      <c r="A91" s="58"/>
      <c r="B91" s="4"/>
      <c r="C91" s="4"/>
      <c r="D91" s="59"/>
      <c r="E91" s="4"/>
      <c r="F91" s="6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 spans="1:30" ht="14.25" customHeight="1">
      <c r="A92" s="58"/>
      <c r="B92" s="4"/>
      <c r="C92" s="4"/>
      <c r="D92" s="59"/>
      <c r="E92" s="4"/>
      <c r="F92" s="60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 spans="1:30" ht="14.25" customHeight="1">
      <c r="A93" s="58"/>
      <c r="B93" s="4"/>
      <c r="C93" s="4"/>
      <c r="D93" s="59"/>
      <c r="E93" s="4"/>
      <c r="F93" s="60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 spans="1:30" ht="14.25" customHeight="1">
      <c r="A94" s="58"/>
      <c r="B94" s="4"/>
      <c r="C94" s="4"/>
      <c r="D94" s="59"/>
      <c r="E94" s="4"/>
      <c r="F94" s="6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 spans="1:30" ht="14.25" customHeight="1">
      <c r="A95" s="58"/>
      <c r="B95" s="4"/>
      <c r="C95" s="4"/>
      <c r="D95" s="59"/>
      <c r="E95" s="4"/>
      <c r="F95" s="6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 spans="1:30" ht="14.25" customHeight="1">
      <c r="A96" s="58"/>
      <c r="B96" s="4"/>
      <c r="C96" s="4"/>
      <c r="D96" s="59"/>
      <c r="E96" s="4"/>
      <c r="F96" s="6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 spans="1:30" ht="14.25" customHeight="1">
      <c r="A97" s="58"/>
      <c r="B97" s="4"/>
      <c r="C97" s="4"/>
      <c r="D97" s="59"/>
      <c r="E97" s="4"/>
      <c r="F97" s="60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 spans="1:30" ht="14.25" customHeight="1">
      <c r="A98" s="58"/>
      <c r="B98" s="4"/>
      <c r="C98" s="4"/>
      <c r="D98" s="59"/>
      <c r="E98" s="4"/>
      <c r="F98" s="6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 spans="1:30" ht="14.25" customHeight="1">
      <c r="A99" s="58"/>
      <c r="B99" s="4"/>
      <c r="C99" s="4"/>
      <c r="D99" s="59"/>
      <c r="E99" s="4"/>
      <c r="F99" s="6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 spans="1:30" ht="14.25" customHeight="1">
      <c r="A100" s="58"/>
      <c r="B100" s="4"/>
      <c r="C100" s="4"/>
      <c r="D100" s="59"/>
      <c r="E100" s="4"/>
      <c r="F100" s="60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 spans="1:30" ht="14.25" customHeight="1">
      <c r="A101" s="58"/>
      <c r="B101" s="4"/>
      <c r="C101" s="4"/>
      <c r="D101" s="59"/>
      <c r="E101" s="4"/>
      <c r="F101" s="60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 spans="1:30" ht="14.25" customHeight="1">
      <c r="A102" s="58"/>
      <c r="B102" s="4"/>
      <c r="C102" s="4"/>
      <c r="D102" s="59"/>
      <c r="E102" s="4"/>
      <c r="F102" s="60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 spans="1:30" ht="14.25" customHeight="1">
      <c r="A103" s="58"/>
      <c r="B103" s="4"/>
      <c r="C103" s="4"/>
      <c r="D103" s="59"/>
      <c r="E103" s="4"/>
      <c r="F103" s="60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 spans="1:30" ht="14.25" customHeight="1">
      <c r="A104" s="58"/>
      <c r="B104" s="4"/>
      <c r="C104" s="4"/>
      <c r="D104" s="59"/>
      <c r="E104" s="4"/>
      <c r="F104" s="60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 spans="1:30" ht="14.25" customHeight="1">
      <c r="A105" s="58"/>
      <c r="B105" s="4"/>
      <c r="C105" s="4"/>
      <c r="D105" s="59"/>
      <c r="E105" s="4"/>
      <c r="F105" s="60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 spans="1:30" ht="14.25" customHeight="1">
      <c r="A106" s="58"/>
      <c r="B106" s="4"/>
      <c r="C106" s="4"/>
      <c r="D106" s="59"/>
      <c r="E106" s="4"/>
      <c r="F106" s="6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 spans="1:30" ht="14.25" customHeight="1">
      <c r="A107" s="58"/>
      <c r="B107" s="4"/>
      <c r="C107" s="4"/>
      <c r="D107" s="59"/>
      <c r="E107" s="4"/>
      <c r="F107" s="6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 spans="1:30" ht="14.25" customHeight="1">
      <c r="A108" s="58"/>
      <c r="B108" s="4"/>
      <c r="C108" s="4"/>
      <c r="D108" s="59"/>
      <c r="E108" s="4"/>
      <c r="F108" s="6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 spans="1:30" ht="14.25" customHeight="1">
      <c r="A109" s="58"/>
      <c r="B109" s="4"/>
      <c r="C109" s="4"/>
      <c r="D109" s="59"/>
      <c r="E109" s="4"/>
      <c r="F109" s="6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 spans="1:30" ht="14.25" customHeight="1">
      <c r="A110" s="58"/>
      <c r="B110" s="4"/>
      <c r="C110" s="4"/>
      <c r="D110" s="59"/>
      <c r="E110" s="4"/>
      <c r="F110" s="6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 spans="1:30" ht="14.25" customHeight="1">
      <c r="A111" s="58"/>
      <c r="B111" s="4"/>
      <c r="C111" s="4"/>
      <c r="D111" s="59"/>
      <c r="E111" s="4"/>
      <c r="F111" s="6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 spans="1:30" ht="14.25" customHeight="1">
      <c r="A112" s="58"/>
      <c r="B112" s="4"/>
      <c r="C112" s="4"/>
      <c r="D112" s="59"/>
      <c r="E112" s="4"/>
      <c r="F112" s="6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 spans="1:30" ht="14.25" customHeight="1">
      <c r="A113" s="58"/>
      <c r="B113" s="4"/>
      <c r="C113" s="4"/>
      <c r="D113" s="59"/>
      <c r="E113" s="4"/>
      <c r="F113" s="6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 spans="1:30" ht="14.25" customHeight="1">
      <c r="A114" s="58"/>
      <c r="B114" s="4"/>
      <c r="C114" s="4"/>
      <c r="D114" s="59"/>
      <c r="E114" s="4"/>
      <c r="F114" s="6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 spans="1:30" ht="14.25" customHeight="1">
      <c r="A115" s="58"/>
      <c r="B115" s="4"/>
      <c r="C115" s="4"/>
      <c r="D115" s="59"/>
      <c r="E115" s="4"/>
      <c r="F115" s="6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 spans="1:30" ht="14.25" customHeight="1">
      <c r="A116" s="58"/>
      <c r="B116" s="4"/>
      <c r="C116" s="4"/>
      <c r="D116" s="59"/>
      <c r="E116" s="4"/>
      <c r="F116" s="6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 spans="1:30" ht="14.25" customHeight="1">
      <c r="A117" s="58"/>
      <c r="B117" s="4"/>
      <c r="C117" s="4"/>
      <c r="D117" s="59"/>
      <c r="E117" s="4"/>
      <c r="F117" s="6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 spans="1:30" ht="14.25" customHeight="1">
      <c r="A118" s="58"/>
      <c r="B118" s="4"/>
      <c r="C118" s="4"/>
      <c r="D118" s="59"/>
      <c r="E118" s="4"/>
      <c r="F118" s="6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 spans="1:30" ht="14.25" customHeight="1">
      <c r="A119" s="58"/>
      <c r="B119" s="4"/>
      <c r="C119" s="4"/>
      <c r="D119" s="59"/>
      <c r="E119" s="4"/>
      <c r="F119" s="6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 spans="1:30" ht="14.25" customHeight="1">
      <c r="A120" s="58"/>
      <c r="B120" s="4"/>
      <c r="C120" s="4"/>
      <c r="D120" s="59"/>
      <c r="E120" s="4"/>
      <c r="F120" s="6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 spans="1:30" ht="14.25" customHeight="1">
      <c r="A121" s="58"/>
      <c r="B121" s="4"/>
      <c r="C121" s="4"/>
      <c r="D121" s="59"/>
      <c r="E121" s="4"/>
      <c r="F121" s="6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 spans="1:30" ht="14.25" customHeight="1">
      <c r="A122" s="58"/>
      <c r="B122" s="4"/>
      <c r="C122" s="4"/>
      <c r="D122" s="59"/>
      <c r="E122" s="4"/>
      <c r="F122" s="6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 spans="1:30" ht="14.25" customHeight="1">
      <c r="A123" s="58"/>
      <c r="B123" s="4"/>
      <c r="C123" s="4"/>
      <c r="D123" s="59"/>
      <c r="E123" s="4"/>
      <c r="F123" s="6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 spans="1:30" ht="14.25" customHeight="1">
      <c r="A124" s="58"/>
      <c r="B124" s="4"/>
      <c r="C124" s="4"/>
      <c r="D124" s="59"/>
      <c r="E124" s="4"/>
      <c r="F124" s="6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 spans="1:30" ht="14.25" customHeight="1">
      <c r="A125" s="58"/>
      <c r="B125" s="4"/>
      <c r="C125" s="4"/>
      <c r="D125" s="59"/>
      <c r="E125" s="4"/>
      <c r="F125" s="6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 spans="1:30" ht="14.25" customHeight="1">
      <c r="A126" s="58"/>
      <c r="B126" s="4"/>
      <c r="C126" s="4"/>
      <c r="D126" s="59"/>
      <c r="E126" s="4"/>
      <c r="F126" s="6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30" ht="14.25" customHeight="1">
      <c r="A127" s="58"/>
      <c r="B127" s="4"/>
      <c r="C127" s="4"/>
      <c r="D127" s="59"/>
      <c r="E127" s="4"/>
      <c r="F127" s="6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 spans="1:30" ht="14.25" customHeight="1">
      <c r="A128" s="58"/>
      <c r="B128" s="4"/>
      <c r="C128" s="4"/>
      <c r="D128" s="59"/>
      <c r="E128" s="4"/>
      <c r="F128" s="6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ht="14.25" customHeight="1">
      <c r="A129" s="58"/>
      <c r="B129" s="4"/>
      <c r="C129" s="4"/>
      <c r="D129" s="59"/>
      <c r="E129" s="4"/>
      <c r="F129" s="6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 spans="1:30" ht="14.25" customHeight="1">
      <c r="A130" s="58"/>
      <c r="B130" s="4"/>
      <c r="C130" s="4"/>
      <c r="D130" s="59"/>
      <c r="E130" s="4"/>
      <c r="F130" s="6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 spans="1:30" ht="14.25" customHeight="1">
      <c r="A131" s="58"/>
      <c r="B131" s="4"/>
      <c r="C131" s="4"/>
      <c r="D131" s="59"/>
      <c r="E131" s="4"/>
      <c r="F131" s="6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 spans="1:30" ht="14.25" customHeight="1">
      <c r="A132" s="58"/>
      <c r="B132" s="4"/>
      <c r="C132" s="4"/>
      <c r="D132" s="59"/>
      <c r="E132" s="4"/>
      <c r="F132" s="6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 spans="1:30" ht="14.25" customHeight="1">
      <c r="A133" s="58"/>
      <c r="B133" s="4"/>
      <c r="C133" s="4"/>
      <c r="D133" s="59"/>
      <c r="E133" s="4"/>
      <c r="F133" s="6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 spans="1:30" ht="14.25" customHeight="1">
      <c r="A134" s="58"/>
      <c r="B134" s="4"/>
      <c r="C134" s="4"/>
      <c r="D134" s="59"/>
      <c r="E134" s="4"/>
      <c r="F134" s="6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 spans="1:30" ht="14.25" customHeight="1">
      <c r="A135" s="58"/>
      <c r="B135" s="4"/>
      <c r="C135" s="4"/>
      <c r="D135" s="59"/>
      <c r="E135" s="4"/>
      <c r="F135" s="6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 spans="1:30" ht="14.25" customHeight="1">
      <c r="A136" s="58"/>
      <c r="B136" s="4"/>
      <c r="C136" s="4"/>
      <c r="D136" s="59"/>
      <c r="E136" s="4"/>
      <c r="F136" s="6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 spans="1:30" ht="14.25" customHeight="1">
      <c r="A137" s="58"/>
      <c r="B137" s="4"/>
      <c r="C137" s="4"/>
      <c r="D137" s="59"/>
      <c r="E137" s="4"/>
      <c r="F137" s="6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 spans="1:30" ht="14.25" customHeight="1">
      <c r="A138" s="58"/>
      <c r="B138" s="4"/>
      <c r="C138" s="4"/>
      <c r="D138" s="59"/>
      <c r="E138" s="4"/>
      <c r="F138" s="6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 spans="1:30" ht="14.25" customHeight="1">
      <c r="A139" s="58"/>
      <c r="B139" s="4"/>
      <c r="C139" s="4"/>
      <c r="D139" s="59"/>
      <c r="E139" s="4"/>
      <c r="F139" s="6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 spans="1:30" ht="14.25" customHeight="1">
      <c r="A140" s="58"/>
      <c r="B140" s="4"/>
      <c r="C140" s="4"/>
      <c r="D140" s="59"/>
      <c r="E140" s="4"/>
      <c r="F140" s="6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spans="1:30" ht="14.25" customHeight="1">
      <c r="A141" s="58"/>
      <c r="B141" s="4"/>
      <c r="C141" s="4"/>
      <c r="D141" s="59"/>
      <c r="E141" s="4"/>
      <c r="F141" s="6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spans="1:30" ht="14.25" customHeight="1">
      <c r="A142" s="58"/>
      <c r="B142" s="4"/>
      <c r="C142" s="4"/>
      <c r="D142" s="59"/>
      <c r="E142" s="4"/>
      <c r="F142" s="6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spans="1:30" ht="14.25" customHeight="1">
      <c r="A143" s="58"/>
      <c r="B143" s="4"/>
      <c r="C143" s="4"/>
      <c r="D143" s="59"/>
      <c r="E143" s="4"/>
      <c r="F143" s="6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spans="1:30" ht="14.25" customHeight="1">
      <c r="A144" s="58"/>
      <c r="B144" s="4"/>
      <c r="C144" s="4"/>
      <c r="D144" s="59"/>
      <c r="E144" s="4"/>
      <c r="F144" s="6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spans="1:30" ht="14.25" customHeight="1">
      <c r="A145" s="58"/>
      <c r="B145" s="4"/>
      <c r="C145" s="4"/>
      <c r="D145" s="59"/>
      <c r="E145" s="4"/>
      <c r="F145" s="6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 spans="1:30" ht="14.25" customHeight="1">
      <c r="A146" s="58"/>
      <c r="B146" s="4"/>
      <c r="C146" s="4"/>
      <c r="D146" s="59"/>
      <c r="E146" s="4"/>
      <c r="F146" s="6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 spans="1:30" ht="14.25" customHeight="1">
      <c r="A147" s="58"/>
      <c r="B147" s="4"/>
      <c r="C147" s="4"/>
      <c r="D147" s="59"/>
      <c r="E147" s="4"/>
      <c r="F147" s="6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 spans="1:30" ht="14.25" customHeight="1">
      <c r="A148" s="58"/>
      <c r="B148" s="4"/>
      <c r="C148" s="4"/>
      <c r="D148" s="59"/>
      <c r="E148" s="4"/>
      <c r="F148" s="6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 spans="1:30" ht="14.25" customHeight="1">
      <c r="A149" s="58"/>
      <c r="B149" s="4"/>
      <c r="C149" s="4"/>
      <c r="D149" s="59"/>
      <c r="E149" s="4"/>
      <c r="F149" s="6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30" ht="14.25" customHeight="1">
      <c r="A150" s="58"/>
      <c r="B150" s="4"/>
      <c r="C150" s="4"/>
      <c r="D150" s="59"/>
      <c r="E150" s="4"/>
      <c r="F150" s="6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30" ht="14.25" customHeight="1">
      <c r="A151" s="58"/>
      <c r="B151" s="4"/>
      <c r="C151" s="4"/>
      <c r="D151" s="59"/>
      <c r="E151" s="4"/>
      <c r="F151" s="6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30" ht="14.25" customHeight="1">
      <c r="A152" s="58"/>
      <c r="B152" s="4"/>
      <c r="C152" s="4"/>
      <c r="D152" s="59"/>
      <c r="E152" s="4"/>
      <c r="F152" s="6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30" ht="14.25" customHeight="1">
      <c r="A153" s="58"/>
      <c r="B153" s="4"/>
      <c r="C153" s="4"/>
      <c r="D153" s="59"/>
      <c r="E153" s="4"/>
      <c r="F153" s="6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30" ht="14.25" customHeight="1">
      <c r="A154" s="58"/>
      <c r="B154" s="4"/>
      <c r="C154" s="4"/>
      <c r="D154" s="59"/>
      <c r="E154" s="4"/>
      <c r="F154" s="6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30" ht="14.25" customHeight="1">
      <c r="A155" s="58"/>
      <c r="B155" s="4"/>
      <c r="C155" s="4"/>
      <c r="D155" s="59"/>
      <c r="E155" s="4"/>
      <c r="F155" s="6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30" ht="14.25" customHeight="1">
      <c r="A156" s="58"/>
      <c r="B156" s="4"/>
      <c r="C156" s="4"/>
      <c r="D156" s="59"/>
      <c r="E156" s="4"/>
      <c r="F156" s="6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30" ht="14.25" customHeight="1">
      <c r="A157" s="58"/>
      <c r="B157" s="4"/>
      <c r="C157" s="4"/>
      <c r="D157" s="59"/>
      <c r="E157" s="4"/>
      <c r="F157" s="6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30" ht="14.25" customHeight="1">
      <c r="A158" s="58"/>
      <c r="B158" s="4"/>
      <c r="C158" s="4"/>
      <c r="D158" s="59"/>
      <c r="E158" s="4"/>
      <c r="F158" s="6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 spans="1:30" ht="14.25" customHeight="1">
      <c r="A159" s="58"/>
      <c r="B159" s="4"/>
      <c r="C159" s="4"/>
      <c r="D159" s="59"/>
      <c r="E159" s="4"/>
      <c r="F159" s="6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 spans="1:30" ht="14.25" customHeight="1">
      <c r="A160" s="58"/>
      <c r="B160" s="4"/>
      <c r="C160" s="4"/>
      <c r="D160" s="59"/>
      <c r="E160" s="4"/>
      <c r="F160" s="6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 spans="1:30" ht="14.25" customHeight="1">
      <c r="A161" s="58"/>
      <c r="B161" s="4"/>
      <c r="C161" s="4"/>
      <c r="D161" s="59"/>
      <c r="E161" s="4"/>
      <c r="F161" s="6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 spans="1:30" ht="14.25" customHeight="1">
      <c r="A162" s="58"/>
      <c r="B162" s="4"/>
      <c r="C162" s="4"/>
      <c r="D162" s="59"/>
      <c r="E162" s="4"/>
      <c r="F162" s="6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 spans="1:30" ht="14.25" customHeight="1">
      <c r="A163" s="58"/>
      <c r="B163" s="4"/>
      <c r="C163" s="4"/>
      <c r="D163" s="59"/>
      <c r="E163" s="4"/>
      <c r="F163" s="6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 spans="1:30" ht="14.25" customHeight="1">
      <c r="A164" s="58"/>
      <c r="B164" s="4"/>
      <c r="C164" s="4"/>
      <c r="D164" s="59"/>
      <c r="E164" s="4"/>
      <c r="F164" s="6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 spans="1:30" ht="14.25" customHeight="1">
      <c r="A165" s="58"/>
      <c r="B165" s="4"/>
      <c r="C165" s="4"/>
      <c r="D165" s="59"/>
      <c r="E165" s="4"/>
      <c r="F165" s="6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 spans="1:30" ht="14.25" customHeight="1">
      <c r="A166" s="58"/>
      <c r="B166" s="4"/>
      <c r="C166" s="4"/>
      <c r="D166" s="59"/>
      <c r="E166" s="4"/>
      <c r="F166" s="6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 spans="1:30" ht="14.25" customHeight="1">
      <c r="A167" s="58"/>
      <c r="B167" s="4"/>
      <c r="C167" s="4"/>
      <c r="D167" s="59"/>
      <c r="E167" s="4"/>
      <c r="F167" s="6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 spans="1:30" ht="14.25" customHeight="1">
      <c r="A168" s="58"/>
      <c r="B168" s="4"/>
      <c r="C168" s="4"/>
      <c r="D168" s="59"/>
      <c r="E168" s="4"/>
      <c r="F168" s="6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 spans="1:30" ht="14.25" customHeight="1">
      <c r="A169" s="58"/>
      <c r="B169" s="4"/>
      <c r="C169" s="4"/>
      <c r="D169" s="59"/>
      <c r="E169" s="4"/>
      <c r="F169" s="6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 spans="1:30" ht="14.25" customHeight="1">
      <c r="A170" s="58"/>
      <c r="B170" s="4"/>
      <c r="C170" s="4"/>
      <c r="D170" s="59"/>
      <c r="E170" s="4"/>
      <c r="F170" s="6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 spans="1:30" ht="14.25" customHeight="1">
      <c r="A171" s="58"/>
      <c r="B171" s="4"/>
      <c r="C171" s="4"/>
      <c r="D171" s="59"/>
      <c r="E171" s="4"/>
      <c r="F171" s="6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 spans="1:30" ht="14.25" customHeight="1">
      <c r="A172" s="58"/>
      <c r="B172" s="4"/>
      <c r="C172" s="4"/>
      <c r="D172" s="59"/>
      <c r="E172" s="4"/>
      <c r="F172" s="6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 spans="1:30" ht="14.25" customHeight="1">
      <c r="A173" s="58"/>
      <c r="B173" s="4"/>
      <c r="C173" s="4"/>
      <c r="D173" s="59"/>
      <c r="E173" s="4"/>
      <c r="F173" s="6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 spans="1:30" ht="14.25" customHeight="1">
      <c r="A174" s="58"/>
      <c r="B174" s="4"/>
      <c r="C174" s="4"/>
      <c r="D174" s="59"/>
      <c r="E174" s="4"/>
      <c r="F174" s="6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 spans="1:30" ht="14.25" customHeight="1">
      <c r="A175" s="58"/>
      <c r="B175" s="4"/>
      <c r="C175" s="4"/>
      <c r="D175" s="59"/>
      <c r="E175" s="4"/>
      <c r="F175" s="6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 spans="1:30" ht="14.25" customHeight="1">
      <c r="A176" s="58"/>
      <c r="B176" s="4"/>
      <c r="C176" s="4"/>
      <c r="D176" s="59"/>
      <c r="E176" s="4"/>
      <c r="F176" s="6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 spans="1:30" ht="14.25" customHeight="1">
      <c r="A177" s="58"/>
      <c r="B177" s="4"/>
      <c r="C177" s="4"/>
      <c r="D177" s="59"/>
      <c r="E177" s="4"/>
      <c r="F177" s="6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 spans="1:30" ht="14.25" customHeight="1">
      <c r="A178" s="58"/>
      <c r="B178" s="4"/>
      <c r="C178" s="4"/>
      <c r="D178" s="59"/>
      <c r="E178" s="4"/>
      <c r="F178" s="6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 spans="1:30" ht="14.25" customHeight="1">
      <c r="A179" s="58"/>
      <c r="B179" s="4"/>
      <c r="C179" s="4"/>
      <c r="D179" s="59"/>
      <c r="E179" s="4"/>
      <c r="F179" s="6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 spans="1:30" ht="14.25" customHeight="1">
      <c r="A180" s="58"/>
      <c r="B180" s="4"/>
      <c r="C180" s="4"/>
      <c r="D180" s="59"/>
      <c r="E180" s="4"/>
      <c r="F180" s="6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 spans="1:30" ht="14.25" customHeight="1">
      <c r="A181" s="58"/>
      <c r="B181" s="4"/>
      <c r="C181" s="4"/>
      <c r="D181" s="59"/>
      <c r="E181" s="4"/>
      <c r="F181" s="6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 spans="1:30" ht="14.25" customHeight="1">
      <c r="A182" s="58"/>
      <c r="B182" s="4"/>
      <c r="C182" s="4"/>
      <c r="D182" s="59"/>
      <c r="E182" s="4"/>
      <c r="F182" s="6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 spans="1:30" ht="14.25" customHeight="1">
      <c r="A183" s="58"/>
      <c r="B183" s="4"/>
      <c r="C183" s="4"/>
      <c r="D183" s="59"/>
      <c r="E183" s="4"/>
      <c r="F183" s="6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 spans="1:30" ht="14.25" customHeight="1">
      <c r="A184" s="58"/>
      <c r="B184" s="4"/>
      <c r="C184" s="4"/>
      <c r="D184" s="59"/>
      <c r="E184" s="4"/>
      <c r="F184" s="6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 spans="1:30" ht="14.25" customHeight="1">
      <c r="A185" s="58"/>
      <c r="B185" s="4"/>
      <c r="C185" s="4"/>
      <c r="D185" s="59"/>
      <c r="E185" s="4"/>
      <c r="F185" s="6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 spans="1:30" ht="14.25" customHeight="1">
      <c r="A186" s="58"/>
      <c r="B186" s="4"/>
      <c r="C186" s="4"/>
      <c r="D186" s="59"/>
      <c r="E186" s="4"/>
      <c r="F186" s="6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 spans="1:30" ht="14.25" customHeight="1">
      <c r="A187" s="58"/>
      <c r="B187" s="4"/>
      <c r="C187" s="4"/>
      <c r="D187" s="59"/>
      <c r="E187" s="4"/>
      <c r="F187" s="6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 spans="1:30" ht="14.25" customHeight="1">
      <c r="A188" s="58"/>
      <c r="B188" s="4"/>
      <c r="C188" s="4"/>
      <c r="D188" s="59"/>
      <c r="E188" s="4"/>
      <c r="F188" s="6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 spans="1:30" ht="14.25" customHeight="1">
      <c r="A189" s="58"/>
      <c r="B189" s="4"/>
      <c r="C189" s="4"/>
      <c r="D189" s="59"/>
      <c r="E189" s="4"/>
      <c r="F189" s="6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 spans="1:30" ht="14.25" customHeight="1">
      <c r="A190" s="58"/>
      <c r="B190" s="4"/>
      <c r="C190" s="4"/>
      <c r="D190" s="59"/>
      <c r="E190" s="4"/>
      <c r="F190" s="6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 spans="1:30" ht="14.25" customHeight="1">
      <c r="A191" s="58"/>
      <c r="B191" s="4"/>
      <c r="C191" s="4"/>
      <c r="D191" s="59"/>
      <c r="E191" s="4"/>
      <c r="F191" s="6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 spans="1:30" ht="14.25" customHeight="1">
      <c r="A192" s="58"/>
      <c r="B192" s="4"/>
      <c r="C192" s="4"/>
      <c r="D192" s="59"/>
      <c r="E192" s="4"/>
      <c r="F192" s="6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 spans="1:30" ht="14.25" customHeight="1">
      <c r="A193" s="58"/>
      <c r="B193" s="4"/>
      <c r="C193" s="4"/>
      <c r="D193" s="59"/>
      <c r="E193" s="4"/>
      <c r="F193" s="6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 spans="1:30" ht="14.25" customHeight="1">
      <c r="A194" s="58"/>
      <c r="B194" s="4"/>
      <c r="C194" s="4"/>
      <c r="D194" s="59"/>
      <c r="E194" s="4"/>
      <c r="F194" s="6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 spans="1:30" ht="14.25" customHeight="1">
      <c r="A195" s="58"/>
      <c r="B195" s="4"/>
      <c r="C195" s="4"/>
      <c r="D195" s="59"/>
      <c r="E195" s="4"/>
      <c r="F195" s="59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 spans="1:30" ht="14.25" customHeight="1">
      <c r="A196" s="58"/>
      <c r="B196" s="4"/>
      <c r="C196" s="4"/>
      <c r="D196" s="59"/>
      <c r="E196" s="4"/>
      <c r="F196" s="59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 spans="1:30" ht="14.25" customHeight="1">
      <c r="A197" s="58"/>
      <c r="B197" s="4"/>
      <c r="C197" s="4"/>
      <c r="D197" s="59"/>
      <c r="E197" s="4"/>
      <c r="F197" s="59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 spans="1:30" ht="14.25" customHeight="1">
      <c r="A198" s="58"/>
      <c r="B198" s="4"/>
      <c r="C198" s="4"/>
      <c r="D198" s="59"/>
      <c r="E198" s="4"/>
      <c r="F198" s="59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 spans="1:30" ht="14.25" customHeight="1">
      <c r="A199" s="58"/>
      <c r="B199" s="4"/>
      <c r="C199" s="4"/>
      <c r="D199" s="59"/>
      <c r="E199" s="4"/>
      <c r="F199" s="59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 spans="1:30" ht="14.25" customHeight="1">
      <c r="A200" s="58"/>
      <c r="B200" s="4"/>
      <c r="C200" s="4"/>
      <c r="D200" s="59"/>
      <c r="E200" s="4"/>
      <c r="F200" s="59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 spans="1:30" ht="14.25" customHeight="1">
      <c r="A201" s="58"/>
      <c r="B201" s="4"/>
      <c r="C201" s="4"/>
      <c r="D201" s="59"/>
      <c r="E201" s="4"/>
      <c r="F201" s="59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 spans="1:30" ht="14.25" customHeight="1">
      <c r="A202" s="58"/>
      <c r="B202" s="4"/>
      <c r="C202" s="4"/>
      <c r="D202" s="59"/>
      <c r="E202" s="4"/>
      <c r="F202" s="59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 spans="1:30" ht="14.25" customHeight="1">
      <c r="A203" s="58"/>
      <c r="B203" s="4"/>
      <c r="C203" s="4"/>
      <c r="D203" s="59"/>
      <c r="E203" s="4"/>
      <c r="F203" s="59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 spans="1:30" ht="14.25" customHeight="1">
      <c r="A204" s="58"/>
      <c r="B204" s="4"/>
      <c r="C204" s="4"/>
      <c r="D204" s="59"/>
      <c r="E204" s="4"/>
      <c r="F204" s="59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 spans="1:30" ht="14.25" customHeight="1">
      <c r="A205" s="58"/>
      <c r="B205" s="4"/>
      <c r="C205" s="4"/>
      <c r="D205" s="59"/>
      <c r="E205" s="4"/>
      <c r="F205" s="59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 spans="1:30" ht="14.25" customHeight="1">
      <c r="A206" s="58"/>
      <c r="B206" s="4"/>
      <c r="C206" s="4"/>
      <c r="D206" s="59"/>
      <c r="E206" s="4"/>
      <c r="F206" s="59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 spans="1:30" ht="14.25" customHeight="1">
      <c r="A207" s="58"/>
      <c r="B207" s="4"/>
      <c r="C207" s="4"/>
      <c r="D207" s="59"/>
      <c r="E207" s="4"/>
      <c r="F207" s="59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 spans="1:30" ht="14.25" customHeight="1">
      <c r="A208" s="58"/>
      <c r="B208" s="4"/>
      <c r="C208" s="4"/>
      <c r="D208" s="59"/>
      <c r="E208" s="4"/>
      <c r="F208" s="59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 spans="1:30" ht="14.25" customHeight="1">
      <c r="A209" s="58"/>
      <c r="B209" s="4"/>
      <c r="C209" s="4"/>
      <c r="D209" s="59"/>
      <c r="E209" s="4"/>
      <c r="F209" s="59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 spans="1:30" ht="14.25" customHeight="1">
      <c r="A210" s="58"/>
      <c r="B210" s="4"/>
      <c r="C210" s="4"/>
      <c r="D210" s="59"/>
      <c r="E210" s="4"/>
      <c r="F210" s="59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 spans="1:30" ht="14.25" customHeight="1">
      <c r="A211" s="58"/>
      <c r="B211" s="4"/>
      <c r="C211" s="4"/>
      <c r="D211" s="59"/>
      <c r="E211" s="4"/>
      <c r="F211" s="59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 spans="1:30" ht="14.25" customHeight="1">
      <c r="A212" s="58"/>
      <c r="B212" s="4"/>
      <c r="C212" s="4"/>
      <c r="D212" s="59"/>
      <c r="E212" s="4"/>
      <c r="F212" s="59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 spans="1:30" ht="14.25" customHeight="1">
      <c r="A213" s="58"/>
      <c r="B213" s="4"/>
      <c r="C213" s="4"/>
      <c r="D213" s="59"/>
      <c r="E213" s="4"/>
      <c r="F213" s="59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 spans="1:30" ht="14.25" customHeight="1">
      <c r="A214" s="58"/>
      <c r="B214" s="4"/>
      <c r="C214" s="4"/>
      <c r="D214" s="59"/>
      <c r="E214" s="4"/>
      <c r="F214" s="59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 spans="1:30" ht="14.25" customHeight="1">
      <c r="A215" s="58"/>
      <c r="B215" s="4"/>
      <c r="C215" s="4"/>
      <c r="D215" s="59"/>
      <c r="E215" s="4"/>
      <c r="F215" s="59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 spans="1:30" ht="14.25" customHeight="1">
      <c r="A216" s="58"/>
      <c r="B216" s="4"/>
      <c r="C216" s="4"/>
      <c r="D216" s="59"/>
      <c r="E216" s="4"/>
      <c r="F216" s="59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 spans="1:30" ht="14.25" customHeight="1">
      <c r="A217" s="58"/>
      <c r="B217" s="4"/>
      <c r="C217" s="4"/>
      <c r="D217" s="59"/>
      <c r="E217" s="4"/>
      <c r="F217" s="59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 spans="1:30" ht="14.25" customHeight="1">
      <c r="A218" s="58"/>
      <c r="B218" s="4"/>
      <c r="C218" s="4"/>
      <c r="D218" s="59"/>
      <c r="E218" s="4"/>
      <c r="F218" s="59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 spans="1:30" ht="14.25" customHeight="1">
      <c r="A219" s="58"/>
      <c r="B219" s="4"/>
      <c r="C219" s="4"/>
      <c r="D219" s="59"/>
      <c r="E219" s="4"/>
      <c r="F219" s="59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 spans="1:30" ht="14.25" customHeight="1">
      <c r="A220" s="58"/>
      <c r="B220" s="4"/>
      <c r="C220" s="4"/>
      <c r="D220" s="59"/>
      <c r="E220" s="4"/>
      <c r="F220" s="59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 spans="1:30" ht="14.25" customHeight="1">
      <c r="A221" s="58"/>
      <c r="B221" s="4"/>
      <c r="C221" s="4"/>
      <c r="D221" s="59"/>
      <c r="E221" s="4"/>
      <c r="F221" s="59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 spans="1:30" ht="14.25" customHeight="1">
      <c r="A222" s="58"/>
      <c r="B222" s="4"/>
      <c r="C222" s="4"/>
      <c r="D222" s="59"/>
      <c r="E222" s="4"/>
      <c r="F222" s="59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 spans="1:30" ht="14.25" customHeight="1">
      <c r="A223" s="58"/>
      <c r="B223" s="4"/>
      <c r="C223" s="4"/>
      <c r="D223" s="59"/>
      <c r="E223" s="4"/>
      <c r="F223" s="59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 spans="1:30" ht="14.25" customHeight="1">
      <c r="A224" s="58"/>
      <c r="B224" s="4"/>
      <c r="C224" s="4"/>
      <c r="D224" s="59"/>
      <c r="E224" s="4"/>
      <c r="F224" s="59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 spans="1:30" ht="14.25" customHeight="1">
      <c r="A225" s="58"/>
      <c r="B225" s="4"/>
      <c r="C225" s="4"/>
      <c r="D225" s="59"/>
      <c r="E225" s="4"/>
      <c r="F225" s="59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 spans="1:30" ht="14.25" customHeight="1">
      <c r="A226" s="58"/>
      <c r="B226" s="4"/>
      <c r="C226" s="4"/>
      <c r="D226" s="59"/>
      <c r="E226" s="4"/>
      <c r="F226" s="59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 spans="1:30" ht="14.25" customHeight="1">
      <c r="A227" s="58"/>
      <c r="B227" s="4"/>
      <c r="C227" s="4"/>
      <c r="D227" s="59"/>
      <c r="E227" s="4"/>
      <c r="F227" s="59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 spans="1:30" ht="14.25" customHeight="1">
      <c r="A228" s="58"/>
      <c r="B228" s="4"/>
      <c r="C228" s="4"/>
      <c r="D228" s="59"/>
      <c r="E228" s="4"/>
      <c r="F228" s="59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 spans="1:30" ht="14.25" customHeight="1">
      <c r="A229" s="58"/>
      <c r="B229" s="4"/>
      <c r="C229" s="4"/>
      <c r="D229" s="59"/>
      <c r="E229" s="4"/>
      <c r="F229" s="59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 spans="1:30" ht="14.25" customHeight="1">
      <c r="A230" s="58"/>
      <c r="B230" s="4"/>
      <c r="C230" s="4"/>
      <c r="D230" s="59"/>
      <c r="E230" s="4"/>
      <c r="F230" s="59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 spans="1:30" ht="14.25" customHeight="1">
      <c r="A231" s="58"/>
      <c r="B231" s="4"/>
      <c r="C231" s="4"/>
      <c r="D231" s="59"/>
      <c r="E231" s="4"/>
      <c r="F231" s="59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 spans="1:30" ht="14.25" customHeight="1">
      <c r="A232" s="58"/>
      <c r="B232" s="4"/>
      <c r="C232" s="4"/>
      <c r="D232" s="59"/>
      <c r="E232" s="4"/>
      <c r="F232" s="59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 spans="1:30" ht="14.25" customHeight="1">
      <c r="A233" s="58"/>
      <c r="B233" s="4"/>
      <c r="C233" s="4"/>
      <c r="D233" s="59"/>
      <c r="E233" s="4"/>
      <c r="F233" s="59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 spans="1:30" ht="14.25" customHeight="1">
      <c r="A234" s="58"/>
      <c r="B234" s="4"/>
      <c r="C234" s="4"/>
      <c r="D234" s="59"/>
      <c r="E234" s="4"/>
      <c r="F234" s="59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 spans="1:30" ht="14.25" customHeight="1">
      <c r="A235" s="58"/>
      <c r="B235" s="4"/>
      <c r="C235" s="4"/>
      <c r="D235" s="59"/>
      <c r="E235" s="4"/>
      <c r="F235" s="59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 spans="1:30" ht="14.25" customHeight="1">
      <c r="A236" s="58"/>
      <c r="B236" s="4"/>
      <c r="C236" s="4"/>
      <c r="D236" s="59"/>
      <c r="E236" s="4"/>
      <c r="F236" s="59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 spans="1:30" ht="14.25" customHeight="1">
      <c r="A237" s="58"/>
      <c r="B237" s="4"/>
      <c r="C237" s="4"/>
      <c r="D237" s="59"/>
      <c r="E237" s="4"/>
      <c r="F237" s="59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 spans="1:30" ht="14.25" customHeight="1">
      <c r="A238" s="58"/>
      <c r="B238" s="4"/>
      <c r="C238" s="4"/>
      <c r="D238" s="59"/>
      <c r="E238" s="4"/>
      <c r="F238" s="59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 spans="1:30" ht="14.25" customHeight="1">
      <c r="A239" s="58"/>
      <c r="B239" s="4"/>
      <c r="C239" s="4"/>
      <c r="D239" s="59"/>
      <c r="E239" s="4"/>
      <c r="F239" s="59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 spans="1:30" ht="14.25" customHeight="1">
      <c r="A240" s="58"/>
      <c r="B240" s="4"/>
      <c r="C240" s="4"/>
      <c r="D240" s="59"/>
      <c r="E240" s="4"/>
      <c r="F240" s="59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 spans="1:30" ht="14.25" customHeight="1">
      <c r="A241" s="58"/>
      <c r="B241" s="4"/>
      <c r="C241" s="4"/>
      <c r="D241" s="59"/>
      <c r="E241" s="4"/>
      <c r="F241" s="59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 spans="1:30" ht="14.25" customHeight="1">
      <c r="A242" s="58"/>
      <c r="B242" s="4"/>
      <c r="C242" s="4"/>
      <c r="D242" s="59"/>
      <c r="E242" s="4"/>
      <c r="F242" s="59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 spans="1:30" ht="14.25" customHeight="1">
      <c r="A243" s="58"/>
      <c r="B243" s="4"/>
      <c r="C243" s="4"/>
      <c r="D243" s="59"/>
      <c r="E243" s="4"/>
      <c r="F243" s="59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 spans="1:30" ht="14.25" customHeight="1">
      <c r="A244" s="58"/>
      <c r="B244" s="4"/>
      <c r="C244" s="4"/>
      <c r="D244" s="59"/>
      <c r="E244" s="4"/>
      <c r="F244" s="59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 spans="1:30" ht="14.25" customHeight="1">
      <c r="A245" s="58"/>
      <c r="B245" s="4"/>
      <c r="C245" s="4"/>
      <c r="D245" s="59"/>
      <c r="E245" s="4"/>
      <c r="F245" s="59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 spans="1:30" ht="14.25" customHeight="1">
      <c r="A246" s="58"/>
      <c r="B246" s="4"/>
      <c r="C246" s="4"/>
      <c r="D246" s="59"/>
      <c r="E246" s="4"/>
      <c r="F246" s="59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 spans="1:30" ht="14.25" customHeight="1">
      <c r="A247" s="58"/>
      <c r="B247" s="4"/>
      <c r="C247" s="4"/>
      <c r="D247" s="59"/>
      <c r="E247" s="4"/>
      <c r="F247" s="59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 spans="1:30" ht="14.25" customHeight="1">
      <c r="A248" s="58"/>
      <c r="B248" s="4"/>
      <c r="C248" s="4"/>
      <c r="D248" s="59"/>
      <c r="E248" s="4"/>
      <c r="F248" s="59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 spans="1:30" ht="14.25" customHeight="1">
      <c r="A249" s="58"/>
      <c r="B249" s="4"/>
      <c r="C249" s="4"/>
      <c r="D249" s="59"/>
      <c r="E249" s="4"/>
      <c r="F249" s="59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 spans="1:30" ht="14.25" customHeight="1">
      <c r="A250" s="58"/>
      <c r="B250" s="4"/>
      <c r="C250" s="4"/>
      <c r="D250" s="59"/>
      <c r="E250" s="4"/>
      <c r="F250" s="59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 spans="1:30" ht="14.25" customHeight="1">
      <c r="A251" s="58"/>
      <c r="B251" s="4"/>
      <c r="C251" s="4"/>
      <c r="D251" s="59"/>
      <c r="E251" s="4"/>
      <c r="F251" s="59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 spans="1:30" ht="14.25" customHeight="1">
      <c r="A252" s="58"/>
      <c r="B252" s="4"/>
      <c r="C252" s="4"/>
      <c r="D252" s="59"/>
      <c r="E252" s="4"/>
      <c r="F252" s="59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 spans="1:30" ht="14.25" customHeight="1">
      <c r="A253" s="58"/>
      <c r="B253" s="4"/>
      <c r="C253" s="4"/>
      <c r="D253" s="59"/>
      <c r="E253" s="4"/>
      <c r="F253" s="59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 spans="1:30" ht="14.25" customHeight="1">
      <c r="A254" s="58"/>
      <c r="B254" s="4"/>
      <c r="C254" s="4"/>
      <c r="D254" s="59"/>
      <c r="E254" s="4"/>
      <c r="F254" s="59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 spans="1:30" ht="14.25" customHeight="1">
      <c r="A255" s="58"/>
      <c r="B255" s="4"/>
      <c r="C255" s="4"/>
      <c r="D255" s="59"/>
      <c r="E255" s="4"/>
      <c r="F255" s="59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 spans="1:30" ht="14.25" customHeight="1">
      <c r="A256" s="58"/>
      <c r="B256" s="4"/>
      <c r="C256" s="4"/>
      <c r="D256" s="59"/>
      <c r="E256" s="4"/>
      <c r="F256" s="59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 spans="1:30" ht="14.25" customHeight="1">
      <c r="A257" s="58"/>
      <c r="B257" s="4"/>
      <c r="C257" s="4"/>
      <c r="D257" s="59"/>
      <c r="E257" s="4"/>
      <c r="F257" s="59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 spans="1:30" ht="14.25" customHeight="1">
      <c r="A258" s="58"/>
      <c r="B258" s="4"/>
      <c r="C258" s="4"/>
      <c r="D258" s="59"/>
      <c r="E258" s="4"/>
      <c r="F258" s="59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 spans="1:30" ht="14.25" customHeight="1">
      <c r="A259" s="58"/>
      <c r="B259" s="4"/>
      <c r="C259" s="4"/>
      <c r="D259" s="59"/>
      <c r="E259" s="4"/>
      <c r="F259" s="59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 spans="1:30" ht="14.25" customHeight="1">
      <c r="A260" s="58"/>
      <c r="B260" s="4"/>
      <c r="C260" s="4"/>
      <c r="D260" s="59"/>
      <c r="E260" s="4"/>
      <c r="F260" s="59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 spans="1:30" ht="14.25" customHeight="1">
      <c r="A261" s="58"/>
      <c r="B261" s="4"/>
      <c r="C261" s="4"/>
      <c r="D261" s="59"/>
      <c r="E261" s="4"/>
      <c r="F261" s="59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 spans="1:30" ht="14.25" customHeight="1">
      <c r="A262" s="58"/>
      <c r="B262" s="4"/>
      <c r="C262" s="4"/>
      <c r="D262" s="59"/>
      <c r="E262" s="4"/>
      <c r="F262" s="59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 spans="1:30" ht="14.25" customHeight="1">
      <c r="A263" s="58"/>
      <c r="B263" s="4"/>
      <c r="C263" s="4"/>
      <c r="D263" s="59"/>
      <c r="E263" s="4"/>
      <c r="F263" s="59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 spans="1:30" ht="14.25" customHeight="1">
      <c r="A264" s="58"/>
      <c r="B264" s="4"/>
      <c r="C264" s="4"/>
      <c r="D264" s="59"/>
      <c r="E264" s="4"/>
      <c r="F264" s="59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 spans="1:30" ht="14.25" customHeight="1">
      <c r="A265" s="58"/>
      <c r="B265" s="4"/>
      <c r="C265" s="4"/>
      <c r="D265" s="59"/>
      <c r="E265" s="4"/>
      <c r="F265" s="59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 spans="1:30" ht="14.25" customHeight="1">
      <c r="A266" s="58"/>
      <c r="B266" s="4"/>
      <c r="C266" s="4"/>
      <c r="D266" s="59"/>
      <c r="E266" s="4"/>
      <c r="F266" s="59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 spans="1:30" ht="14.25" customHeight="1">
      <c r="A267" s="58"/>
      <c r="B267" s="4"/>
      <c r="C267" s="4"/>
      <c r="D267" s="59"/>
      <c r="E267" s="4"/>
      <c r="F267" s="59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 spans="1:30" ht="14.25" customHeight="1">
      <c r="A268" s="58"/>
      <c r="B268" s="4"/>
      <c r="C268" s="4"/>
      <c r="D268" s="59"/>
      <c r="E268" s="4"/>
      <c r="F268" s="59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 spans="1:30" ht="14.25" customHeight="1">
      <c r="A269" s="58"/>
      <c r="B269" s="4"/>
      <c r="C269" s="4"/>
      <c r="D269" s="59"/>
      <c r="E269" s="4"/>
      <c r="F269" s="59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 spans="1:30" ht="14.25" customHeight="1">
      <c r="A270" s="58"/>
      <c r="B270" s="4"/>
      <c r="C270" s="4"/>
      <c r="D270" s="59"/>
      <c r="E270" s="4"/>
      <c r="F270" s="59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 spans="1:30" ht="14.25" customHeight="1">
      <c r="A271" s="58"/>
      <c r="B271" s="4"/>
      <c r="C271" s="4"/>
      <c r="D271" s="59"/>
      <c r="E271" s="4"/>
      <c r="F271" s="59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 spans="1:30" ht="14.25" customHeight="1">
      <c r="A272" s="58"/>
      <c r="B272" s="4"/>
      <c r="C272" s="4"/>
      <c r="D272" s="59"/>
      <c r="E272" s="4"/>
      <c r="F272" s="59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 spans="1:30" ht="14.25" customHeight="1">
      <c r="A273" s="58"/>
      <c r="B273" s="4"/>
      <c r="C273" s="4"/>
      <c r="D273" s="59"/>
      <c r="E273" s="4"/>
      <c r="F273" s="59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 spans="1:30" ht="14.25" customHeight="1">
      <c r="A274" s="58"/>
      <c r="B274" s="4"/>
      <c r="C274" s="4"/>
      <c r="D274" s="59"/>
      <c r="E274" s="4"/>
      <c r="F274" s="59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 spans="1:30" ht="14.25" customHeight="1">
      <c r="A275" s="58"/>
      <c r="B275" s="4"/>
      <c r="C275" s="4"/>
      <c r="D275" s="59"/>
      <c r="E275" s="4"/>
      <c r="F275" s="59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 spans="1:30" ht="14.25" customHeight="1">
      <c r="A276" s="58"/>
      <c r="B276" s="4"/>
      <c r="C276" s="4"/>
      <c r="D276" s="59"/>
      <c r="E276" s="4"/>
      <c r="F276" s="59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 spans="1:30" ht="14.25" customHeight="1">
      <c r="A277" s="58"/>
      <c r="B277" s="4"/>
      <c r="C277" s="4"/>
      <c r="D277" s="59"/>
      <c r="E277" s="4"/>
      <c r="F277" s="59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 spans="1:30" ht="14.25" customHeight="1">
      <c r="A278" s="58"/>
      <c r="B278" s="4"/>
      <c r="C278" s="4"/>
      <c r="D278" s="59"/>
      <c r="E278" s="4"/>
      <c r="F278" s="59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 spans="1:30" ht="14.25" customHeight="1">
      <c r="A279" s="58"/>
      <c r="B279" s="4"/>
      <c r="C279" s="4"/>
      <c r="D279" s="59"/>
      <c r="E279" s="4"/>
      <c r="F279" s="59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 spans="1:30" ht="14.25" customHeight="1">
      <c r="A280" s="58"/>
      <c r="B280" s="4"/>
      <c r="C280" s="4"/>
      <c r="D280" s="59"/>
      <c r="E280" s="4"/>
      <c r="F280" s="59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 spans="1:30" ht="14.25" customHeight="1">
      <c r="A281" s="58"/>
      <c r="B281" s="4"/>
      <c r="C281" s="4"/>
      <c r="D281" s="59"/>
      <c r="E281" s="4"/>
      <c r="F281" s="59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 spans="1:30" ht="14.25" customHeight="1">
      <c r="A282" s="58"/>
      <c r="B282" s="4"/>
      <c r="C282" s="4"/>
      <c r="D282" s="59"/>
      <c r="E282" s="4"/>
      <c r="F282" s="59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 spans="1:30" ht="14.25" customHeight="1">
      <c r="A283" s="58"/>
      <c r="B283" s="4"/>
      <c r="C283" s="4"/>
      <c r="D283" s="59"/>
      <c r="E283" s="4"/>
      <c r="F283" s="59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 spans="1:30" ht="14.25" customHeight="1">
      <c r="A284" s="58"/>
      <c r="B284" s="4"/>
      <c r="C284" s="4"/>
      <c r="D284" s="59"/>
      <c r="E284" s="4"/>
      <c r="F284" s="59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 spans="1:30" ht="14.25" customHeight="1">
      <c r="A285" s="58"/>
      <c r="B285" s="4"/>
      <c r="C285" s="4"/>
      <c r="D285" s="59"/>
      <c r="E285" s="4"/>
      <c r="F285" s="59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 spans="1:30" ht="14.25" customHeight="1">
      <c r="A286" s="58"/>
      <c r="B286" s="4"/>
      <c r="C286" s="4"/>
      <c r="D286" s="59"/>
      <c r="E286" s="4"/>
      <c r="F286" s="59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 spans="1:30" ht="14.25" customHeight="1">
      <c r="A287" s="58"/>
      <c r="B287" s="4"/>
      <c r="C287" s="4"/>
      <c r="D287" s="59"/>
      <c r="E287" s="4"/>
      <c r="F287" s="59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 spans="1:30" ht="14.25" customHeight="1">
      <c r="A288" s="58"/>
      <c r="B288" s="4"/>
      <c r="C288" s="4"/>
      <c r="D288" s="59"/>
      <c r="E288" s="4"/>
      <c r="F288" s="59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 spans="1:30" ht="14.25" customHeight="1">
      <c r="A289" s="58"/>
      <c r="B289" s="4"/>
      <c r="C289" s="4"/>
      <c r="D289" s="59"/>
      <c r="E289" s="4"/>
      <c r="F289" s="59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 spans="1:30" ht="14.25" customHeight="1">
      <c r="A290" s="58"/>
      <c r="B290" s="4"/>
      <c r="C290" s="4"/>
      <c r="D290" s="59"/>
      <c r="E290" s="4"/>
      <c r="F290" s="59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 spans="1:30" ht="14.25" customHeight="1">
      <c r="A291" s="58"/>
      <c r="B291" s="4"/>
      <c r="C291" s="4"/>
      <c r="D291" s="59"/>
      <c r="E291" s="4"/>
      <c r="F291" s="59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 spans="1:30" ht="14.25" customHeight="1">
      <c r="A292" s="58"/>
      <c r="B292" s="4"/>
      <c r="C292" s="4"/>
      <c r="D292" s="59"/>
      <c r="E292" s="4"/>
      <c r="F292" s="59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 spans="1:30" ht="14.25" customHeight="1">
      <c r="A293" s="58"/>
      <c r="B293" s="4"/>
      <c r="C293" s="4"/>
      <c r="D293" s="59"/>
      <c r="E293" s="4"/>
      <c r="F293" s="59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 spans="1:30" ht="14.25" customHeight="1">
      <c r="A294" s="58"/>
      <c r="B294" s="4"/>
      <c r="C294" s="4"/>
      <c r="D294" s="59"/>
      <c r="E294" s="4"/>
      <c r="F294" s="59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 spans="1:30" ht="14.25" customHeight="1">
      <c r="A295" s="58"/>
      <c r="B295" s="4"/>
      <c r="C295" s="4"/>
      <c r="D295" s="59"/>
      <c r="E295" s="4"/>
      <c r="F295" s="59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 spans="1:30" ht="14.25" customHeight="1">
      <c r="A296" s="58"/>
      <c r="B296" s="4"/>
      <c r="C296" s="4"/>
      <c r="D296" s="59"/>
      <c r="E296" s="4"/>
      <c r="F296" s="59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 spans="1:30" ht="14.25" customHeight="1">
      <c r="A297" s="58"/>
      <c r="B297" s="4"/>
      <c r="C297" s="4"/>
      <c r="D297" s="59"/>
      <c r="E297" s="4"/>
      <c r="F297" s="59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 spans="1:30" ht="14.25" customHeight="1">
      <c r="A298" s="58"/>
      <c r="B298" s="4"/>
      <c r="C298" s="4"/>
      <c r="D298" s="59"/>
      <c r="E298" s="4"/>
      <c r="F298" s="59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 spans="1:30" ht="14.25" customHeight="1">
      <c r="A299" s="58"/>
      <c r="B299" s="4"/>
      <c r="C299" s="4"/>
      <c r="D299" s="59"/>
      <c r="E299" s="4"/>
      <c r="F299" s="59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 spans="1:30" ht="14.25" customHeight="1">
      <c r="A300" s="58"/>
      <c r="B300" s="4"/>
      <c r="C300" s="4"/>
      <c r="D300" s="59"/>
      <c r="E300" s="4"/>
      <c r="F300" s="59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 spans="1:30" ht="14.25" customHeight="1">
      <c r="A301" s="58"/>
      <c r="B301" s="4"/>
      <c r="C301" s="4"/>
      <c r="D301" s="59"/>
      <c r="E301" s="4"/>
      <c r="F301" s="59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 spans="1:30" ht="14.25" customHeight="1">
      <c r="A302" s="58"/>
      <c r="B302" s="4"/>
      <c r="C302" s="4"/>
      <c r="D302" s="59"/>
      <c r="E302" s="4"/>
      <c r="F302" s="59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 spans="1:30" ht="14.25" customHeight="1">
      <c r="A303" s="58"/>
      <c r="B303" s="4"/>
      <c r="C303" s="4"/>
      <c r="D303" s="59"/>
      <c r="E303" s="4"/>
      <c r="F303" s="59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 spans="1:30" ht="14.25" customHeight="1">
      <c r="A304" s="58"/>
      <c r="B304" s="4"/>
      <c r="C304" s="4"/>
      <c r="D304" s="59"/>
      <c r="E304" s="4"/>
      <c r="F304" s="59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 spans="1:30" ht="14.25" customHeight="1">
      <c r="A305" s="58"/>
      <c r="B305" s="4"/>
      <c r="C305" s="4"/>
      <c r="D305" s="59"/>
      <c r="E305" s="4"/>
      <c r="F305" s="59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 spans="1:30" ht="14.25" customHeight="1">
      <c r="A306" s="58"/>
      <c r="B306" s="4"/>
      <c r="C306" s="4"/>
      <c r="D306" s="59"/>
      <c r="E306" s="4"/>
      <c r="F306" s="59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 spans="1:30" ht="14.25" customHeight="1">
      <c r="A307" s="58"/>
      <c r="B307" s="4"/>
      <c r="C307" s="4"/>
      <c r="D307" s="59"/>
      <c r="E307" s="4"/>
      <c r="F307" s="59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 spans="1:30" ht="14.25" customHeight="1">
      <c r="A308" s="58"/>
      <c r="B308" s="4"/>
      <c r="C308" s="4"/>
      <c r="D308" s="59"/>
      <c r="E308" s="4"/>
      <c r="F308" s="59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 spans="1:30" ht="14.25" customHeight="1">
      <c r="A309" s="58"/>
      <c r="B309" s="4"/>
      <c r="C309" s="4"/>
      <c r="D309" s="59"/>
      <c r="E309" s="4"/>
      <c r="F309" s="59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 spans="1:30" ht="14.25" customHeight="1">
      <c r="A310" s="58"/>
      <c r="B310" s="4"/>
      <c r="C310" s="4"/>
      <c r="D310" s="59"/>
      <c r="E310" s="4"/>
      <c r="F310" s="59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 spans="1:30" ht="14.25" customHeight="1">
      <c r="A311" s="58"/>
      <c r="B311" s="4"/>
      <c r="C311" s="4"/>
      <c r="D311" s="59"/>
      <c r="E311" s="4"/>
      <c r="F311" s="59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 spans="1:30" ht="14.25" customHeight="1">
      <c r="A312" s="58"/>
      <c r="B312" s="4"/>
      <c r="C312" s="4"/>
      <c r="D312" s="59"/>
      <c r="E312" s="4"/>
      <c r="F312" s="59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 spans="1:30" ht="14.25" customHeight="1">
      <c r="A313" s="58"/>
      <c r="B313" s="4"/>
      <c r="C313" s="4"/>
      <c r="D313" s="59"/>
      <c r="E313" s="4"/>
      <c r="F313" s="59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 spans="1:30" ht="14.25" customHeight="1">
      <c r="A314" s="58"/>
      <c r="B314" s="4"/>
      <c r="C314" s="4"/>
      <c r="D314" s="59"/>
      <c r="E314" s="4"/>
      <c r="F314" s="59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 spans="1:30" ht="14.25" customHeight="1">
      <c r="A315" s="58"/>
      <c r="B315" s="4"/>
      <c r="C315" s="4"/>
      <c r="D315" s="59"/>
      <c r="E315" s="4"/>
      <c r="F315" s="59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 spans="1:30" ht="14.25" customHeight="1">
      <c r="A316" s="58"/>
      <c r="B316" s="4"/>
      <c r="C316" s="4"/>
      <c r="D316" s="59"/>
      <c r="E316" s="4"/>
      <c r="F316" s="59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 spans="1:30" ht="14.25" customHeight="1">
      <c r="A317" s="58"/>
      <c r="B317" s="4"/>
      <c r="C317" s="4"/>
      <c r="D317" s="59"/>
      <c r="E317" s="4"/>
      <c r="F317" s="59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 spans="1:30" ht="14.25" customHeight="1">
      <c r="A318" s="58"/>
      <c r="B318" s="4"/>
      <c r="C318" s="4"/>
      <c r="D318" s="59"/>
      <c r="E318" s="4"/>
      <c r="F318" s="59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 spans="1:30" ht="14.25" customHeight="1">
      <c r="A319" s="58"/>
      <c r="B319" s="4"/>
      <c r="C319" s="4"/>
      <c r="D319" s="59"/>
      <c r="E319" s="4"/>
      <c r="F319" s="59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 spans="1:30" ht="14.25" customHeight="1">
      <c r="A320" s="58"/>
      <c r="B320" s="4"/>
      <c r="C320" s="4"/>
      <c r="D320" s="59"/>
      <c r="E320" s="4"/>
      <c r="F320" s="59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 spans="1:30" ht="14.25" customHeight="1">
      <c r="A321" s="58"/>
      <c r="B321" s="4"/>
      <c r="C321" s="4"/>
      <c r="D321" s="59"/>
      <c r="E321" s="4"/>
      <c r="F321" s="59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 spans="1:30" ht="14.25" customHeight="1">
      <c r="A322" s="58"/>
      <c r="B322" s="4"/>
      <c r="C322" s="4"/>
      <c r="D322" s="59"/>
      <c r="E322" s="4"/>
      <c r="F322" s="59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 spans="1:30" ht="14.25" customHeight="1">
      <c r="A323" s="58"/>
      <c r="B323" s="4"/>
      <c r="C323" s="4"/>
      <c r="D323" s="59"/>
      <c r="E323" s="4"/>
      <c r="F323" s="59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 spans="1:30" ht="14.25" customHeight="1">
      <c r="A324" s="58"/>
      <c r="B324" s="4"/>
      <c r="C324" s="4"/>
      <c r="D324" s="59"/>
      <c r="E324" s="4"/>
      <c r="F324" s="59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 spans="1:30" ht="14.25" customHeight="1">
      <c r="A325" s="58"/>
      <c r="B325" s="4"/>
      <c r="C325" s="4"/>
      <c r="D325" s="59"/>
      <c r="E325" s="4"/>
      <c r="F325" s="59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 spans="1:30" ht="14.25" customHeight="1">
      <c r="A326" s="58"/>
      <c r="B326" s="4"/>
      <c r="C326" s="4"/>
      <c r="D326" s="59"/>
      <c r="E326" s="4"/>
      <c r="F326" s="59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 spans="1:30" ht="14.25" customHeight="1">
      <c r="A327" s="58"/>
      <c r="B327" s="4"/>
      <c r="C327" s="4"/>
      <c r="D327" s="59"/>
      <c r="E327" s="4"/>
      <c r="F327" s="59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 spans="1:30" ht="14.25" customHeight="1">
      <c r="A328" s="58"/>
      <c r="B328" s="4"/>
      <c r="C328" s="4"/>
      <c r="D328" s="59"/>
      <c r="E328" s="4"/>
      <c r="F328" s="59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 spans="1:30" ht="14.25" customHeight="1">
      <c r="A329" s="58"/>
      <c r="B329" s="4"/>
      <c r="C329" s="4"/>
      <c r="D329" s="59"/>
      <c r="E329" s="4"/>
      <c r="F329" s="59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 spans="1:30" ht="14.25" customHeight="1">
      <c r="A330" s="58"/>
      <c r="B330" s="4"/>
      <c r="C330" s="4"/>
      <c r="D330" s="59"/>
      <c r="E330" s="4"/>
      <c r="F330" s="59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 spans="1:30" ht="14.25" customHeight="1">
      <c r="A331" s="58"/>
      <c r="B331" s="4"/>
      <c r="C331" s="4"/>
      <c r="D331" s="59"/>
      <c r="E331" s="4"/>
      <c r="F331" s="59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 spans="1:30" ht="14.25" customHeight="1">
      <c r="A332" s="58"/>
      <c r="B332" s="4"/>
      <c r="C332" s="4"/>
      <c r="D332" s="59"/>
      <c r="E332" s="4"/>
      <c r="F332" s="59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 spans="1:30" ht="14.25" customHeight="1">
      <c r="A333" s="58"/>
      <c r="B333" s="4"/>
      <c r="C333" s="4"/>
      <c r="D333" s="59"/>
      <c r="E333" s="4"/>
      <c r="F333" s="59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 spans="1:30" ht="14.25" customHeight="1">
      <c r="A334" s="58"/>
      <c r="B334" s="4"/>
      <c r="C334" s="4"/>
      <c r="D334" s="59"/>
      <c r="E334" s="4"/>
      <c r="F334" s="59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 spans="1:30" ht="14.25" customHeight="1">
      <c r="A335" s="58"/>
      <c r="B335" s="4"/>
      <c r="C335" s="4"/>
      <c r="D335" s="59"/>
      <c r="E335" s="4"/>
      <c r="F335" s="59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 spans="1:30" ht="14.25" customHeight="1">
      <c r="A336" s="58"/>
      <c r="B336" s="4"/>
      <c r="C336" s="4"/>
      <c r="D336" s="59"/>
      <c r="E336" s="4"/>
      <c r="F336" s="59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 spans="1:30" ht="14.25" customHeight="1">
      <c r="A337" s="58"/>
      <c r="B337" s="4"/>
      <c r="C337" s="4"/>
      <c r="D337" s="59"/>
      <c r="E337" s="4"/>
      <c r="F337" s="59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 spans="1:30" ht="14.25" customHeight="1">
      <c r="A338" s="58"/>
      <c r="B338" s="4"/>
      <c r="C338" s="4"/>
      <c r="D338" s="59"/>
      <c r="E338" s="4"/>
      <c r="F338" s="59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 spans="1:30" ht="14.25" customHeight="1">
      <c r="A339" s="58"/>
      <c r="B339" s="4"/>
      <c r="C339" s="4"/>
      <c r="D339" s="59"/>
      <c r="E339" s="4"/>
      <c r="F339" s="59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 spans="1:30" ht="14.25" customHeight="1">
      <c r="A340" s="58"/>
      <c r="B340" s="4"/>
      <c r="C340" s="4"/>
      <c r="D340" s="59"/>
      <c r="E340" s="4"/>
      <c r="F340" s="59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 spans="1:30" ht="14.25" customHeight="1">
      <c r="A341" s="58"/>
      <c r="B341" s="4"/>
      <c r="C341" s="4"/>
      <c r="D341" s="59"/>
      <c r="E341" s="4"/>
      <c r="F341" s="59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 spans="1:30" ht="14.25" customHeight="1">
      <c r="A342" s="58"/>
      <c r="B342" s="4"/>
      <c r="C342" s="4"/>
      <c r="D342" s="59"/>
      <c r="E342" s="4"/>
      <c r="F342" s="59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 spans="1:30" ht="14.25" customHeight="1">
      <c r="A343" s="58"/>
      <c r="B343" s="4"/>
      <c r="C343" s="4"/>
      <c r="D343" s="59"/>
      <c r="E343" s="4"/>
      <c r="F343" s="59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 spans="1:30" ht="14.25" customHeight="1">
      <c r="A344" s="58"/>
      <c r="B344" s="4"/>
      <c r="C344" s="4"/>
      <c r="D344" s="59"/>
      <c r="E344" s="4"/>
      <c r="F344" s="59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 spans="1:30" ht="14.25" customHeight="1">
      <c r="A345" s="58"/>
      <c r="B345" s="4"/>
      <c r="C345" s="4"/>
      <c r="D345" s="59"/>
      <c r="E345" s="4"/>
      <c r="F345" s="59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 spans="1:30" ht="14.25" customHeight="1">
      <c r="A346" s="58"/>
      <c r="B346" s="4"/>
      <c r="C346" s="4"/>
      <c r="D346" s="59"/>
      <c r="E346" s="4"/>
      <c r="F346" s="59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 spans="1:30" ht="14.25" customHeight="1">
      <c r="A347" s="58"/>
      <c r="B347" s="4"/>
      <c r="C347" s="4"/>
      <c r="D347" s="59"/>
      <c r="E347" s="4"/>
      <c r="F347" s="59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 spans="1:30" ht="14.25" customHeight="1">
      <c r="A348" s="58"/>
      <c r="B348" s="4"/>
      <c r="C348" s="4"/>
      <c r="D348" s="59"/>
      <c r="E348" s="4"/>
      <c r="F348" s="59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 spans="1:30" ht="14.25" customHeight="1">
      <c r="A349" s="58"/>
      <c r="B349" s="4"/>
      <c r="C349" s="4"/>
      <c r="D349" s="59"/>
      <c r="E349" s="4"/>
      <c r="F349" s="59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 spans="1:30" ht="14.25" customHeight="1">
      <c r="A350" s="58"/>
      <c r="B350" s="4"/>
      <c r="C350" s="4"/>
      <c r="D350" s="59"/>
      <c r="E350" s="4"/>
      <c r="F350" s="59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 spans="1:30" ht="14.25" customHeight="1">
      <c r="A351" s="58"/>
      <c r="B351" s="4"/>
      <c r="C351" s="4"/>
      <c r="D351" s="59"/>
      <c r="E351" s="4"/>
      <c r="F351" s="59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 spans="1:30" ht="14.25" customHeight="1">
      <c r="A352" s="58"/>
      <c r="B352" s="4"/>
      <c r="C352" s="4"/>
      <c r="D352" s="59"/>
      <c r="E352" s="4"/>
      <c r="F352" s="59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 spans="1:30" ht="14.25" customHeight="1">
      <c r="A353" s="58"/>
      <c r="B353" s="4"/>
      <c r="C353" s="4"/>
      <c r="D353" s="59"/>
      <c r="E353" s="4"/>
      <c r="F353" s="59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 spans="1:30" ht="14.25" customHeight="1">
      <c r="A354" s="58"/>
      <c r="B354" s="4"/>
      <c r="C354" s="4"/>
      <c r="D354" s="59"/>
      <c r="E354" s="4"/>
      <c r="F354" s="59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 spans="1:30" ht="14.25" customHeight="1">
      <c r="A355" s="58"/>
      <c r="B355" s="4"/>
      <c r="C355" s="4"/>
      <c r="D355" s="59"/>
      <c r="E355" s="4"/>
      <c r="F355" s="59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 spans="1:30" ht="14.25" customHeight="1">
      <c r="A356" s="58"/>
      <c r="B356" s="4"/>
      <c r="C356" s="4"/>
      <c r="D356" s="59"/>
      <c r="E356" s="4"/>
      <c r="F356" s="59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 spans="1:30" ht="14.25" customHeight="1">
      <c r="A357" s="58"/>
      <c r="B357" s="4"/>
      <c r="C357" s="4"/>
      <c r="D357" s="59"/>
      <c r="E357" s="4"/>
      <c r="F357" s="59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 spans="1:30" ht="14.25" customHeight="1">
      <c r="A358" s="58"/>
      <c r="B358" s="4"/>
      <c r="C358" s="4"/>
      <c r="D358" s="59"/>
      <c r="E358" s="4"/>
      <c r="F358" s="59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 spans="1:30" ht="14.25" customHeight="1">
      <c r="A359" s="58"/>
      <c r="B359" s="4"/>
      <c r="C359" s="4"/>
      <c r="D359" s="59"/>
      <c r="E359" s="4"/>
      <c r="F359" s="59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 spans="1:30" ht="14.25" customHeight="1">
      <c r="A360" s="58"/>
      <c r="B360" s="4"/>
      <c r="C360" s="4"/>
      <c r="D360" s="59"/>
      <c r="E360" s="4"/>
      <c r="F360" s="59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 spans="1:30" ht="14.25" customHeight="1">
      <c r="A361" s="58"/>
      <c r="B361" s="4"/>
      <c r="C361" s="4"/>
      <c r="D361" s="59"/>
      <c r="E361" s="4"/>
      <c r="F361" s="59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 spans="1:30" ht="14.25" customHeight="1">
      <c r="A362" s="58"/>
      <c r="B362" s="4"/>
      <c r="C362" s="4"/>
      <c r="D362" s="59"/>
      <c r="E362" s="4"/>
      <c r="F362" s="59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 spans="1:30" ht="14.25" customHeight="1">
      <c r="A363" s="58"/>
      <c r="B363" s="4"/>
      <c r="C363" s="4"/>
      <c r="D363" s="59"/>
      <c r="E363" s="4"/>
      <c r="F363" s="59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 spans="1:30" ht="14.25" customHeight="1">
      <c r="A364" s="58"/>
      <c r="B364" s="4"/>
      <c r="C364" s="4"/>
      <c r="D364" s="59"/>
      <c r="E364" s="4"/>
      <c r="F364" s="59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 spans="1:30" ht="14.25" customHeight="1">
      <c r="A365" s="58"/>
      <c r="B365" s="4"/>
      <c r="C365" s="4"/>
      <c r="D365" s="59"/>
      <c r="E365" s="4"/>
      <c r="F365" s="59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 spans="1:30" ht="14.25" customHeight="1">
      <c r="A366" s="58"/>
      <c r="B366" s="4"/>
      <c r="C366" s="4"/>
      <c r="D366" s="59"/>
      <c r="E366" s="4"/>
      <c r="F366" s="59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 spans="1:30" ht="14.25" customHeight="1">
      <c r="A367" s="58"/>
      <c r="B367" s="4"/>
      <c r="C367" s="4"/>
      <c r="D367" s="59"/>
      <c r="E367" s="4"/>
      <c r="F367" s="59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 spans="1:30" ht="14.25" customHeight="1">
      <c r="A368" s="58"/>
      <c r="B368" s="4"/>
      <c r="C368" s="4"/>
      <c r="D368" s="59"/>
      <c r="E368" s="4"/>
      <c r="F368" s="59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 spans="1:30" ht="14.25" customHeight="1">
      <c r="A369" s="58"/>
      <c r="B369" s="4"/>
      <c r="C369" s="4"/>
      <c r="D369" s="59"/>
      <c r="E369" s="4"/>
      <c r="F369" s="59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 spans="1:30" ht="14.25" customHeight="1">
      <c r="A370" s="58"/>
      <c r="B370" s="4"/>
      <c r="C370" s="4"/>
      <c r="D370" s="59"/>
      <c r="E370" s="4"/>
      <c r="F370" s="59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 spans="1:30" ht="14.25" customHeight="1">
      <c r="A371" s="58"/>
      <c r="B371" s="4"/>
      <c r="C371" s="4"/>
      <c r="D371" s="59"/>
      <c r="E371" s="4"/>
      <c r="F371" s="59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 spans="1:30" ht="14.25" customHeight="1">
      <c r="A372" s="58"/>
      <c r="B372" s="4"/>
      <c r="C372" s="4"/>
      <c r="D372" s="59"/>
      <c r="E372" s="4"/>
      <c r="F372" s="59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 spans="1:30" ht="14.25" customHeight="1">
      <c r="A373" s="58"/>
      <c r="B373" s="4"/>
      <c r="C373" s="4"/>
      <c r="D373" s="59"/>
      <c r="E373" s="4"/>
      <c r="F373" s="59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 spans="1:30" ht="14.25" customHeight="1">
      <c r="A374" s="58"/>
      <c r="B374" s="4"/>
      <c r="C374" s="4"/>
      <c r="D374" s="59"/>
      <c r="E374" s="4"/>
      <c r="F374" s="59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 spans="1:30" ht="14.25" customHeight="1">
      <c r="A375" s="58"/>
      <c r="B375" s="4"/>
      <c r="C375" s="4"/>
      <c r="D375" s="59"/>
      <c r="E375" s="4"/>
      <c r="F375" s="59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 spans="1:30" ht="14.25" customHeight="1">
      <c r="A376" s="58"/>
      <c r="B376" s="4"/>
      <c r="C376" s="4"/>
      <c r="D376" s="59"/>
      <c r="E376" s="4"/>
      <c r="F376" s="59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 spans="1:30" ht="14.25" customHeight="1">
      <c r="A377" s="58"/>
      <c r="B377" s="4"/>
      <c r="C377" s="4"/>
      <c r="D377" s="59"/>
      <c r="E377" s="4"/>
      <c r="F377" s="59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 spans="1:30" ht="14.25" customHeight="1">
      <c r="A378" s="58"/>
      <c r="B378" s="4"/>
      <c r="C378" s="4"/>
      <c r="D378" s="59"/>
      <c r="E378" s="4"/>
      <c r="F378" s="59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 spans="1:30" ht="14.25" customHeight="1">
      <c r="A379" s="58"/>
      <c r="B379" s="4"/>
      <c r="C379" s="4"/>
      <c r="D379" s="59"/>
      <c r="E379" s="4"/>
      <c r="F379" s="59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 spans="1:30" ht="14.25" customHeight="1">
      <c r="A380" s="58"/>
      <c r="B380" s="4"/>
      <c r="C380" s="4"/>
      <c r="D380" s="59"/>
      <c r="E380" s="4"/>
      <c r="F380" s="59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 spans="1:30" ht="14.25" customHeight="1">
      <c r="A381" s="58"/>
      <c r="B381" s="4"/>
      <c r="C381" s="4"/>
      <c r="D381" s="59"/>
      <c r="E381" s="4"/>
      <c r="F381" s="59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 spans="1:30" ht="14.25" customHeight="1">
      <c r="A382" s="58"/>
      <c r="B382" s="4"/>
      <c r="C382" s="4"/>
      <c r="D382" s="59"/>
      <c r="E382" s="4"/>
      <c r="F382" s="59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 spans="1:30" ht="14.25" customHeight="1">
      <c r="A383" s="58"/>
      <c r="B383" s="4"/>
      <c r="C383" s="4"/>
      <c r="D383" s="59"/>
      <c r="E383" s="4"/>
      <c r="F383" s="59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 spans="1:30" ht="14.25" customHeight="1">
      <c r="A384" s="58"/>
      <c r="B384" s="4"/>
      <c r="C384" s="4"/>
      <c r="D384" s="59"/>
      <c r="E384" s="4"/>
      <c r="F384" s="59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 spans="1:30" ht="14.25" customHeight="1">
      <c r="A385" s="58"/>
      <c r="B385" s="4"/>
      <c r="C385" s="4"/>
      <c r="D385" s="59"/>
      <c r="E385" s="4"/>
      <c r="F385" s="59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 spans="1:30" ht="14.25" customHeight="1">
      <c r="A386" s="58"/>
      <c r="B386" s="4"/>
      <c r="C386" s="4"/>
      <c r="D386" s="59"/>
      <c r="E386" s="4"/>
      <c r="F386" s="59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 spans="1:30" ht="14.25" customHeight="1">
      <c r="A387" s="58"/>
      <c r="B387" s="4"/>
      <c r="C387" s="4"/>
      <c r="D387" s="59"/>
      <c r="E387" s="4"/>
      <c r="F387" s="59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 spans="1:30" ht="14.25" customHeight="1">
      <c r="A388" s="58"/>
      <c r="B388" s="4"/>
      <c r="C388" s="4"/>
      <c r="D388" s="59"/>
      <c r="E388" s="4"/>
      <c r="F388" s="59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 spans="1:30" ht="14.25" customHeight="1">
      <c r="A389" s="58"/>
      <c r="B389" s="4"/>
      <c r="C389" s="4"/>
      <c r="D389" s="59"/>
      <c r="E389" s="4"/>
      <c r="F389" s="59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 spans="1:30" ht="14.25" customHeight="1">
      <c r="A390" s="58"/>
      <c r="B390" s="4"/>
      <c r="C390" s="4"/>
      <c r="D390" s="59"/>
      <c r="E390" s="4"/>
      <c r="F390" s="59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 spans="1:30" ht="14.25" customHeight="1">
      <c r="A391" s="58"/>
      <c r="B391" s="4"/>
      <c r="C391" s="4"/>
      <c r="D391" s="59"/>
      <c r="E391" s="4"/>
      <c r="F391" s="59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 spans="1:30" ht="14.25" customHeight="1">
      <c r="A392" s="58"/>
      <c r="B392" s="4"/>
      <c r="C392" s="4"/>
      <c r="D392" s="59"/>
      <c r="E392" s="4"/>
      <c r="F392" s="59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 spans="1:30" ht="14.25" customHeight="1">
      <c r="A393" s="58"/>
      <c r="B393" s="4"/>
      <c r="C393" s="4"/>
      <c r="D393" s="59"/>
      <c r="E393" s="4"/>
      <c r="F393" s="59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 spans="1:30" ht="14.25" customHeight="1">
      <c r="A394" s="58"/>
      <c r="B394" s="4"/>
      <c r="C394" s="4"/>
      <c r="D394" s="59"/>
      <c r="E394" s="4"/>
      <c r="F394" s="59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 spans="1:30" ht="14.25" customHeight="1">
      <c r="A395" s="58"/>
      <c r="B395" s="4"/>
      <c r="C395" s="4"/>
      <c r="D395" s="59"/>
      <c r="E395" s="4"/>
      <c r="F395" s="59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 spans="1:30" ht="14.25" customHeight="1">
      <c r="A396" s="58"/>
      <c r="B396" s="4"/>
      <c r="C396" s="4"/>
      <c r="D396" s="59"/>
      <c r="E396" s="4"/>
      <c r="F396" s="59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 spans="1:30" ht="14.25" customHeight="1">
      <c r="A397" s="58"/>
      <c r="B397" s="4"/>
      <c r="C397" s="4"/>
      <c r="D397" s="59"/>
      <c r="E397" s="4"/>
      <c r="F397" s="59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 spans="1:30" ht="14.25" customHeight="1">
      <c r="A398" s="58"/>
      <c r="B398" s="4"/>
      <c r="C398" s="4"/>
      <c r="D398" s="59"/>
      <c r="E398" s="4"/>
      <c r="F398" s="59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 spans="1:30" ht="14.25" customHeight="1">
      <c r="A399" s="58"/>
      <c r="B399" s="4"/>
      <c r="C399" s="4"/>
      <c r="D399" s="59"/>
      <c r="E399" s="4"/>
      <c r="F399" s="59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 spans="1:30" ht="14.25" customHeight="1">
      <c r="A400" s="58"/>
      <c r="B400" s="4"/>
      <c r="C400" s="4"/>
      <c r="D400" s="59"/>
      <c r="E400" s="4"/>
      <c r="F400" s="59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 spans="1:30" ht="14.25" customHeight="1">
      <c r="A401" s="58"/>
      <c r="B401" s="4"/>
      <c r="C401" s="4"/>
      <c r="D401" s="59"/>
      <c r="E401" s="4"/>
      <c r="F401" s="59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 spans="1:30" ht="14.25" customHeight="1">
      <c r="A402" s="58"/>
      <c r="B402" s="4"/>
      <c r="C402" s="4"/>
      <c r="D402" s="59"/>
      <c r="E402" s="4"/>
      <c r="F402" s="59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 spans="1:30" ht="14.25" customHeight="1">
      <c r="A403" s="58"/>
      <c r="B403" s="4"/>
      <c r="C403" s="4"/>
      <c r="D403" s="59"/>
      <c r="E403" s="4"/>
      <c r="F403" s="59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 spans="1:30" ht="14.25" customHeight="1">
      <c r="A404" s="58"/>
      <c r="B404" s="4"/>
      <c r="C404" s="4"/>
      <c r="D404" s="59"/>
      <c r="E404" s="4"/>
      <c r="F404" s="59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 spans="1:30" ht="14.25" customHeight="1">
      <c r="A405" s="58"/>
      <c r="B405" s="4"/>
      <c r="C405" s="4"/>
      <c r="D405" s="59"/>
      <c r="E405" s="4"/>
      <c r="F405" s="59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 spans="1:30" ht="14.25" customHeight="1">
      <c r="A406" s="58"/>
      <c r="B406" s="4"/>
      <c r="C406" s="4"/>
      <c r="D406" s="59"/>
      <c r="E406" s="4"/>
      <c r="F406" s="59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 spans="1:30" ht="14.25" customHeight="1">
      <c r="A407" s="58"/>
      <c r="B407" s="4"/>
      <c r="C407" s="4"/>
      <c r="D407" s="59"/>
      <c r="E407" s="4"/>
      <c r="F407" s="59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 spans="1:30" ht="14.25" customHeight="1">
      <c r="A408" s="58"/>
      <c r="B408" s="4"/>
      <c r="C408" s="4"/>
      <c r="D408" s="59"/>
      <c r="E408" s="4"/>
      <c r="F408" s="59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 spans="1:30" ht="14.25" customHeight="1">
      <c r="A409" s="58"/>
      <c r="B409" s="4"/>
      <c r="C409" s="4"/>
      <c r="D409" s="59"/>
      <c r="E409" s="4"/>
      <c r="F409" s="59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 spans="1:30" ht="14.25" customHeight="1">
      <c r="A410" s="58"/>
      <c r="B410" s="4"/>
      <c r="C410" s="4"/>
      <c r="D410" s="59"/>
      <c r="E410" s="4"/>
      <c r="F410" s="59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 spans="1:30" ht="14.25" customHeight="1">
      <c r="A411" s="58"/>
      <c r="B411" s="4"/>
      <c r="C411" s="4"/>
      <c r="D411" s="59"/>
      <c r="E411" s="4"/>
      <c r="F411" s="59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 spans="1:30" ht="14.25" customHeight="1">
      <c r="A412" s="58"/>
      <c r="B412" s="4"/>
      <c r="C412" s="4"/>
      <c r="D412" s="59"/>
      <c r="E412" s="4"/>
      <c r="F412" s="59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 spans="1:30" ht="14.25" customHeight="1">
      <c r="A413" s="58"/>
      <c r="B413" s="4"/>
      <c r="C413" s="4"/>
      <c r="D413" s="59"/>
      <c r="E413" s="4"/>
      <c r="F413" s="59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 spans="1:30" ht="14.25" customHeight="1">
      <c r="A414" s="58"/>
      <c r="B414" s="4"/>
      <c r="C414" s="4"/>
      <c r="D414" s="59"/>
      <c r="E414" s="4"/>
      <c r="F414" s="59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 spans="1:30" ht="14.25" customHeight="1">
      <c r="A415" s="58"/>
      <c r="B415" s="4"/>
      <c r="C415" s="4"/>
      <c r="D415" s="59"/>
      <c r="E415" s="4"/>
      <c r="F415" s="59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 spans="1:30" ht="14.25" customHeight="1">
      <c r="A416" s="58"/>
      <c r="B416" s="4"/>
      <c r="C416" s="4"/>
      <c r="D416" s="59"/>
      <c r="E416" s="4"/>
      <c r="F416" s="59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 spans="1:30" ht="14.25" customHeight="1">
      <c r="A417" s="58"/>
      <c r="B417" s="4"/>
      <c r="C417" s="4"/>
      <c r="D417" s="59"/>
      <c r="E417" s="4"/>
      <c r="F417" s="59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 spans="1:30" ht="14.25" customHeight="1">
      <c r="A418" s="58"/>
      <c r="B418" s="4"/>
      <c r="C418" s="4"/>
      <c r="D418" s="59"/>
      <c r="E418" s="4"/>
      <c r="F418" s="59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 spans="1:30" ht="14.25" customHeight="1">
      <c r="A419" s="58"/>
      <c r="B419" s="4"/>
      <c r="C419" s="4"/>
      <c r="D419" s="59"/>
      <c r="E419" s="4"/>
      <c r="F419" s="59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 spans="1:30" ht="14.25" customHeight="1">
      <c r="A420" s="58"/>
      <c r="B420" s="4"/>
      <c r="C420" s="4"/>
      <c r="D420" s="59"/>
      <c r="E420" s="4"/>
      <c r="F420" s="59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 spans="1:30" ht="14.25" customHeight="1">
      <c r="A421" s="58"/>
      <c r="B421" s="4"/>
      <c r="C421" s="4"/>
      <c r="D421" s="59"/>
      <c r="E421" s="4"/>
      <c r="F421" s="59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 spans="1:30" ht="14.25" customHeight="1">
      <c r="A422" s="58"/>
      <c r="B422" s="4"/>
      <c r="C422" s="4"/>
      <c r="D422" s="59"/>
      <c r="E422" s="4"/>
      <c r="F422" s="59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 spans="1:30" ht="14.25" customHeight="1">
      <c r="A423" s="58"/>
      <c r="B423" s="4"/>
      <c r="C423" s="4"/>
      <c r="D423" s="59"/>
      <c r="E423" s="4"/>
      <c r="F423" s="59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 spans="1:30" ht="14.25" customHeight="1">
      <c r="A424" s="58"/>
      <c r="B424" s="4"/>
      <c r="C424" s="4"/>
      <c r="D424" s="59"/>
      <c r="E424" s="4"/>
      <c r="F424" s="59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 spans="1:30" ht="14.25" customHeight="1">
      <c r="A425" s="58"/>
      <c r="B425" s="4"/>
      <c r="C425" s="4"/>
      <c r="D425" s="59"/>
      <c r="E425" s="4"/>
      <c r="F425" s="59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 spans="1:30" ht="14.25" customHeight="1">
      <c r="A426" s="58"/>
      <c r="B426" s="4"/>
      <c r="C426" s="4"/>
      <c r="D426" s="59"/>
      <c r="E426" s="4"/>
      <c r="F426" s="59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 spans="1:30" ht="14.25" customHeight="1">
      <c r="A427" s="58"/>
      <c r="B427" s="4"/>
      <c r="C427" s="4"/>
      <c r="D427" s="59"/>
      <c r="E427" s="4"/>
      <c r="F427" s="59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 spans="1:30" ht="14.25" customHeight="1">
      <c r="A428" s="58"/>
      <c r="B428" s="4"/>
      <c r="C428" s="4"/>
      <c r="D428" s="59"/>
      <c r="E428" s="4"/>
      <c r="F428" s="59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 spans="1:30" ht="14.25" customHeight="1">
      <c r="A429" s="58"/>
      <c r="B429" s="4"/>
      <c r="C429" s="4"/>
      <c r="D429" s="59"/>
      <c r="E429" s="4"/>
      <c r="F429" s="59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 spans="1:30" ht="14.25" customHeight="1">
      <c r="A430" s="58"/>
      <c r="B430" s="4"/>
      <c r="C430" s="4"/>
      <c r="D430" s="59"/>
      <c r="E430" s="4"/>
      <c r="F430" s="59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 spans="1:30" ht="14.25" customHeight="1">
      <c r="A431" s="58"/>
      <c r="B431" s="4"/>
      <c r="C431" s="4"/>
      <c r="D431" s="59"/>
      <c r="E431" s="4"/>
      <c r="F431" s="59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 spans="1:30" ht="14.25" customHeight="1">
      <c r="A432" s="58"/>
      <c r="B432" s="4"/>
      <c r="C432" s="4"/>
      <c r="D432" s="59"/>
      <c r="E432" s="4"/>
      <c r="F432" s="59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 spans="1:30" ht="14.25" customHeight="1">
      <c r="A433" s="58"/>
      <c r="B433" s="4"/>
      <c r="C433" s="4"/>
      <c r="D433" s="59"/>
      <c r="E433" s="4"/>
      <c r="F433" s="59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 spans="1:30" ht="14.25" customHeight="1">
      <c r="A434" s="58"/>
      <c r="B434" s="4"/>
      <c r="C434" s="4"/>
      <c r="D434" s="59"/>
      <c r="E434" s="4"/>
      <c r="F434" s="59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 spans="1:30" ht="14.25" customHeight="1">
      <c r="A435" s="58"/>
      <c r="B435" s="4"/>
      <c r="C435" s="4"/>
      <c r="D435" s="59"/>
      <c r="E435" s="4"/>
      <c r="F435" s="59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 spans="1:30" ht="14.25" customHeight="1">
      <c r="A436" s="58"/>
      <c r="B436" s="4"/>
      <c r="C436" s="4"/>
      <c r="D436" s="59"/>
      <c r="E436" s="4"/>
      <c r="F436" s="59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 spans="1:30" ht="14.25" customHeight="1">
      <c r="A437" s="58"/>
      <c r="B437" s="4"/>
      <c r="C437" s="4"/>
      <c r="D437" s="59"/>
      <c r="E437" s="4"/>
      <c r="F437" s="59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 spans="1:30" ht="14.25" customHeight="1">
      <c r="A438" s="58"/>
      <c r="B438" s="4"/>
      <c r="C438" s="4"/>
      <c r="D438" s="59"/>
      <c r="E438" s="4"/>
      <c r="F438" s="59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 spans="1:30" ht="14.25" customHeight="1">
      <c r="A439" s="58"/>
      <c r="B439" s="4"/>
      <c r="C439" s="4"/>
      <c r="D439" s="59"/>
      <c r="E439" s="4"/>
      <c r="F439" s="59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 spans="1:30" ht="14.25" customHeight="1">
      <c r="A440" s="58"/>
      <c r="B440" s="4"/>
      <c r="C440" s="4"/>
      <c r="D440" s="59"/>
      <c r="E440" s="4"/>
      <c r="F440" s="59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 spans="1:30" ht="14.25" customHeight="1">
      <c r="A441" s="58"/>
      <c r="B441" s="4"/>
      <c r="C441" s="4"/>
      <c r="D441" s="59"/>
      <c r="E441" s="4"/>
      <c r="F441" s="59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 spans="1:30" ht="14.25" customHeight="1">
      <c r="A442" s="58"/>
      <c r="B442" s="4"/>
      <c r="C442" s="4"/>
      <c r="D442" s="59"/>
      <c r="E442" s="4"/>
      <c r="F442" s="59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 spans="1:30" ht="14.25" customHeight="1">
      <c r="A443" s="58"/>
      <c r="B443" s="4"/>
      <c r="C443" s="4"/>
      <c r="D443" s="59"/>
      <c r="E443" s="4"/>
      <c r="F443" s="59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 spans="1:30" ht="14.25" customHeight="1">
      <c r="A444" s="58"/>
      <c r="B444" s="4"/>
      <c r="C444" s="4"/>
      <c r="D444" s="59"/>
      <c r="E444" s="4"/>
      <c r="F444" s="59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 spans="1:30" ht="14.25" customHeight="1">
      <c r="A445" s="58"/>
      <c r="B445" s="4"/>
      <c r="C445" s="4"/>
      <c r="D445" s="59"/>
      <c r="E445" s="4"/>
      <c r="F445" s="59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 spans="1:30" ht="14.25" customHeight="1">
      <c r="A446" s="58"/>
      <c r="B446" s="4"/>
      <c r="C446" s="4"/>
      <c r="D446" s="59"/>
      <c r="E446" s="4"/>
      <c r="F446" s="59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 spans="1:30" ht="14.25" customHeight="1">
      <c r="A447" s="58"/>
      <c r="B447" s="4"/>
      <c r="C447" s="4"/>
      <c r="D447" s="59"/>
      <c r="E447" s="4"/>
      <c r="F447" s="59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 spans="1:30" ht="14.25" customHeight="1">
      <c r="A448" s="58"/>
      <c r="B448" s="4"/>
      <c r="C448" s="4"/>
      <c r="D448" s="59"/>
      <c r="E448" s="4"/>
      <c r="F448" s="59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 spans="1:30" ht="14.25" customHeight="1">
      <c r="A449" s="58"/>
      <c r="B449" s="4"/>
      <c r="C449" s="4"/>
      <c r="D449" s="59"/>
      <c r="E449" s="4"/>
      <c r="F449" s="59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 spans="1:30" ht="14.25" customHeight="1">
      <c r="A450" s="58"/>
      <c r="B450" s="4"/>
      <c r="C450" s="4"/>
      <c r="D450" s="59"/>
      <c r="E450" s="4"/>
      <c r="F450" s="59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 spans="1:30" ht="14.25" customHeight="1">
      <c r="A451" s="58"/>
      <c r="B451" s="4"/>
      <c r="C451" s="4"/>
      <c r="D451" s="59"/>
      <c r="E451" s="4"/>
      <c r="F451" s="59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 spans="1:30" ht="14.25" customHeight="1">
      <c r="A452" s="58"/>
      <c r="B452" s="4"/>
      <c r="C452" s="4"/>
      <c r="D452" s="59"/>
      <c r="E452" s="4"/>
      <c r="F452" s="59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 spans="1:30" ht="14.25" customHeight="1">
      <c r="A453" s="58"/>
      <c r="B453" s="4"/>
      <c r="C453" s="4"/>
      <c r="D453" s="59"/>
      <c r="E453" s="4"/>
      <c r="F453" s="59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 spans="1:30" ht="14.25" customHeight="1">
      <c r="A454" s="58"/>
      <c r="B454" s="4"/>
      <c r="C454" s="4"/>
      <c r="D454" s="59"/>
      <c r="E454" s="4"/>
      <c r="F454" s="59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 spans="1:30" ht="14.25" customHeight="1">
      <c r="A455" s="58"/>
      <c r="B455" s="4"/>
      <c r="C455" s="4"/>
      <c r="D455" s="59"/>
      <c r="E455" s="4"/>
      <c r="F455" s="59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 spans="1:30" ht="14.25" customHeight="1">
      <c r="A456" s="58"/>
      <c r="B456" s="4"/>
      <c r="C456" s="4"/>
      <c r="D456" s="59"/>
      <c r="E456" s="4"/>
      <c r="F456" s="59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 spans="1:30" ht="14.25" customHeight="1">
      <c r="A457" s="58"/>
      <c r="B457" s="4"/>
      <c r="C457" s="4"/>
      <c r="D457" s="59"/>
      <c r="E457" s="4"/>
      <c r="F457" s="59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 spans="1:30" ht="14.25" customHeight="1">
      <c r="A458" s="58"/>
      <c r="B458" s="4"/>
      <c r="C458" s="4"/>
      <c r="D458" s="59"/>
      <c r="E458" s="4"/>
      <c r="F458" s="59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 spans="1:30" ht="14.25" customHeight="1">
      <c r="A459" s="58"/>
      <c r="B459" s="4"/>
      <c r="C459" s="4"/>
      <c r="D459" s="59"/>
      <c r="E459" s="4"/>
      <c r="F459" s="59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 spans="1:30" ht="14.25" customHeight="1">
      <c r="A460" s="58"/>
      <c r="B460" s="4"/>
      <c r="C460" s="4"/>
      <c r="D460" s="59"/>
      <c r="E460" s="4"/>
      <c r="F460" s="59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 spans="1:30" ht="14.25" customHeight="1">
      <c r="A461" s="58"/>
      <c r="B461" s="4"/>
      <c r="C461" s="4"/>
      <c r="D461" s="59"/>
      <c r="E461" s="4"/>
      <c r="F461" s="59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 spans="1:30" ht="14.25" customHeight="1">
      <c r="A462" s="58"/>
      <c r="B462" s="4"/>
      <c r="C462" s="4"/>
      <c r="D462" s="59"/>
      <c r="E462" s="4"/>
      <c r="F462" s="59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 spans="1:30" ht="14.25" customHeight="1">
      <c r="A463" s="58"/>
      <c r="B463" s="4"/>
      <c r="C463" s="4"/>
      <c r="D463" s="59"/>
      <c r="E463" s="4"/>
      <c r="F463" s="59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 spans="1:30" ht="14.25" customHeight="1">
      <c r="A464" s="58"/>
      <c r="B464" s="4"/>
      <c r="C464" s="4"/>
      <c r="D464" s="59"/>
      <c r="E464" s="4"/>
      <c r="F464" s="59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 spans="1:30" ht="14.25" customHeight="1">
      <c r="A465" s="58"/>
      <c r="B465" s="4"/>
      <c r="C465" s="4"/>
      <c r="D465" s="59"/>
      <c r="E465" s="4"/>
      <c r="F465" s="59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 spans="1:30" ht="14.25" customHeight="1">
      <c r="A466" s="58"/>
      <c r="B466" s="4"/>
      <c r="C466" s="4"/>
      <c r="D466" s="59"/>
      <c r="E466" s="4"/>
      <c r="F466" s="59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 spans="1:30" ht="14.25" customHeight="1">
      <c r="A467" s="58"/>
      <c r="B467" s="4"/>
      <c r="C467" s="4"/>
      <c r="D467" s="59"/>
      <c r="E467" s="4"/>
      <c r="F467" s="59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 spans="1:30" ht="14.25" customHeight="1">
      <c r="A468" s="58"/>
      <c r="B468" s="4"/>
      <c r="C468" s="4"/>
      <c r="D468" s="59"/>
      <c r="E468" s="4"/>
      <c r="F468" s="59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 spans="1:30" ht="14.25" customHeight="1">
      <c r="A469" s="58"/>
      <c r="B469" s="4"/>
      <c r="C469" s="4"/>
      <c r="D469" s="59"/>
      <c r="E469" s="4"/>
      <c r="F469" s="59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 spans="1:30" ht="14.25" customHeight="1">
      <c r="A470" s="58"/>
      <c r="B470" s="4"/>
      <c r="C470" s="4"/>
      <c r="D470" s="59"/>
      <c r="E470" s="4"/>
      <c r="F470" s="59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 spans="1:30" ht="14.25" customHeight="1">
      <c r="A471" s="58"/>
      <c r="B471" s="4"/>
      <c r="C471" s="4"/>
      <c r="D471" s="59"/>
      <c r="E471" s="4"/>
      <c r="F471" s="59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 spans="1:30" ht="14.25" customHeight="1">
      <c r="A472" s="58"/>
      <c r="B472" s="4"/>
      <c r="C472" s="4"/>
      <c r="D472" s="59"/>
      <c r="E472" s="4"/>
      <c r="F472" s="59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 spans="1:30" ht="14.25" customHeight="1">
      <c r="A473" s="58"/>
      <c r="B473" s="4"/>
      <c r="C473" s="4"/>
      <c r="D473" s="59"/>
      <c r="E473" s="4"/>
      <c r="F473" s="59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 spans="1:30" ht="14.25" customHeight="1">
      <c r="A474" s="58"/>
      <c r="B474" s="4"/>
      <c r="C474" s="4"/>
      <c r="D474" s="59"/>
      <c r="E474" s="4"/>
      <c r="F474" s="59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 spans="1:30" ht="14.25" customHeight="1">
      <c r="A475" s="58"/>
      <c r="B475" s="4"/>
      <c r="C475" s="4"/>
      <c r="D475" s="59"/>
      <c r="E475" s="4"/>
      <c r="F475" s="59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 spans="1:30" ht="14.25" customHeight="1">
      <c r="A476" s="58"/>
      <c r="B476" s="4"/>
      <c r="C476" s="4"/>
      <c r="D476" s="59"/>
      <c r="E476" s="4"/>
      <c r="F476" s="59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 spans="1:30" ht="14.25" customHeight="1">
      <c r="A477" s="58"/>
      <c r="B477" s="4"/>
      <c r="C477" s="4"/>
      <c r="D477" s="59"/>
      <c r="E477" s="4"/>
      <c r="F477" s="59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 spans="1:30" ht="14.25" customHeight="1">
      <c r="A478" s="58"/>
      <c r="B478" s="4"/>
      <c r="C478" s="4"/>
      <c r="D478" s="59"/>
      <c r="E478" s="4"/>
      <c r="F478" s="59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 spans="1:30" ht="14.25" customHeight="1">
      <c r="A479" s="58"/>
      <c r="B479" s="4"/>
      <c r="C479" s="4"/>
      <c r="D479" s="59"/>
      <c r="E479" s="4"/>
      <c r="F479" s="59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 spans="1:30" ht="14.25" customHeight="1">
      <c r="A480" s="58"/>
      <c r="B480" s="4"/>
      <c r="C480" s="4"/>
      <c r="D480" s="59"/>
      <c r="E480" s="4"/>
      <c r="F480" s="59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 spans="1:30" ht="14.25" customHeight="1">
      <c r="A481" s="58"/>
      <c r="B481" s="4"/>
      <c r="C481" s="4"/>
      <c r="D481" s="59"/>
      <c r="E481" s="4"/>
      <c r="F481" s="59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 spans="1:30" ht="14.25" customHeight="1">
      <c r="A482" s="58"/>
      <c r="B482" s="4"/>
      <c r="C482" s="4"/>
      <c r="D482" s="59"/>
      <c r="E482" s="4"/>
      <c r="F482" s="59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 spans="1:30" ht="14.25" customHeight="1">
      <c r="A483" s="58"/>
      <c r="B483" s="4"/>
      <c r="C483" s="4"/>
      <c r="D483" s="59"/>
      <c r="E483" s="4"/>
      <c r="F483" s="59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 spans="1:30" ht="14.25" customHeight="1">
      <c r="A484" s="58"/>
      <c r="B484" s="4"/>
      <c r="C484" s="4"/>
      <c r="D484" s="59"/>
      <c r="E484" s="4"/>
      <c r="F484" s="59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 spans="1:30" ht="14.25" customHeight="1">
      <c r="A485" s="58"/>
      <c r="B485" s="4"/>
      <c r="C485" s="4"/>
      <c r="D485" s="59"/>
      <c r="E485" s="4"/>
      <c r="F485" s="59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 spans="1:30" ht="14.25" customHeight="1">
      <c r="A486" s="58"/>
      <c r="B486" s="4"/>
      <c r="C486" s="4"/>
      <c r="D486" s="59"/>
      <c r="E486" s="4"/>
      <c r="F486" s="59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 spans="1:30" ht="14.25" customHeight="1">
      <c r="A487" s="58"/>
      <c r="B487" s="4"/>
      <c r="C487" s="4"/>
      <c r="D487" s="59"/>
      <c r="E487" s="4"/>
      <c r="F487" s="59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 spans="1:30" ht="14.25" customHeight="1">
      <c r="A488" s="58"/>
      <c r="B488" s="4"/>
      <c r="C488" s="4"/>
      <c r="D488" s="59"/>
      <c r="E488" s="4"/>
      <c r="F488" s="59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 spans="1:30" ht="14.25" customHeight="1">
      <c r="A489" s="58"/>
      <c r="B489" s="4"/>
      <c r="C489" s="4"/>
      <c r="D489" s="59"/>
      <c r="E489" s="4"/>
      <c r="F489" s="59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 spans="1:30" ht="14.25" customHeight="1">
      <c r="A490" s="58"/>
      <c r="B490" s="4"/>
      <c r="C490" s="4"/>
      <c r="D490" s="59"/>
      <c r="E490" s="4"/>
      <c r="F490" s="59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 spans="1:30" ht="14.25" customHeight="1">
      <c r="A491" s="58"/>
      <c r="B491" s="4"/>
      <c r="C491" s="4"/>
      <c r="D491" s="59"/>
      <c r="E491" s="4"/>
      <c r="F491" s="59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 spans="1:30" ht="14.25" customHeight="1">
      <c r="A492" s="58"/>
      <c r="B492" s="4"/>
      <c r="C492" s="4"/>
      <c r="D492" s="59"/>
      <c r="E492" s="4"/>
      <c r="F492" s="59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 spans="1:30" ht="14.25" customHeight="1">
      <c r="A493" s="58"/>
      <c r="B493" s="4"/>
      <c r="C493" s="4"/>
      <c r="D493" s="59"/>
      <c r="E493" s="4"/>
      <c r="F493" s="59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 spans="1:30" ht="14.25" customHeight="1">
      <c r="A494" s="58"/>
      <c r="B494" s="4"/>
      <c r="C494" s="4"/>
      <c r="D494" s="59"/>
      <c r="E494" s="4"/>
      <c r="F494" s="59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 spans="1:30" ht="14.25" customHeight="1">
      <c r="A495" s="58"/>
      <c r="B495" s="4"/>
      <c r="C495" s="4"/>
      <c r="D495" s="59"/>
      <c r="E495" s="4"/>
      <c r="F495" s="59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 spans="1:30" ht="14.25" customHeight="1">
      <c r="A496" s="58"/>
      <c r="B496" s="4"/>
      <c r="C496" s="4"/>
      <c r="D496" s="59"/>
      <c r="E496" s="4"/>
      <c r="F496" s="59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 spans="1:30" ht="14.25" customHeight="1">
      <c r="A497" s="58"/>
      <c r="B497" s="4"/>
      <c r="C497" s="4"/>
      <c r="D497" s="59"/>
      <c r="E497" s="4"/>
      <c r="F497" s="59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 spans="1:30" ht="14.25" customHeight="1">
      <c r="A498" s="58"/>
      <c r="B498" s="4"/>
      <c r="C498" s="4"/>
      <c r="D498" s="59"/>
      <c r="E498" s="4"/>
      <c r="F498" s="59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 spans="1:30" ht="14.25" customHeight="1">
      <c r="A499" s="58"/>
      <c r="B499" s="4"/>
      <c r="C499" s="4"/>
      <c r="D499" s="59"/>
      <c r="E499" s="4"/>
      <c r="F499" s="59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 spans="1:30" ht="14.25" customHeight="1">
      <c r="A500" s="58"/>
      <c r="B500" s="4"/>
      <c r="C500" s="4"/>
      <c r="D500" s="59"/>
      <c r="E500" s="4"/>
      <c r="F500" s="59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 spans="1:30" ht="14.25" customHeight="1">
      <c r="A501" s="58"/>
      <c r="B501" s="4"/>
      <c r="C501" s="4"/>
      <c r="D501" s="59"/>
      <c r="E501" s="4"/>
      <c r="F501" s="59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 spans="1:30" ht="14.25" customHeight="1">
      <c r="A502" s="58"/>
      <c r="B502" s="4"/>
      <c r="C502" s="4"/>
      <c r="D502" s="59"/>
      <c r="E502" s="4"/>
      <c r="F502" s="59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 spans="1:30" ht="14.25" customHeight="1">
      <c r="A503" s="58"/>
      <c r="B503" s="4"/>
      <c r="C503" s="4"/>
      <c r="D503" s="59"/>
      <c r="E503" s="4"/>
      <c r="F503" s="59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 spans="1:30" ht="14.25" customHeight="1">
      <c r="A504" s="58"/>
      <c r="B504" s="4"/>
      <c r="C504" s="4"/>
      <c r="D504" s="59"/>
      <c r="E504" s="4"/>
      <c r="F504" s="59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 spans="1:30" ht="14.25" customHeight="1">
      <c r="A505" s="58"/>
      <c r="B505" s="4"/>
      <c r="C505" s="4"/>
      <c r="D505" s="59"/>
      <c r="E505" s="4"/>
      <c r="F505" s="59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 spans="1:30" ht="14.25" customHeight="1">
      <c r="A506" s="58"/>
      <c r="B506" s="4"/>
      <c r="C506" s="4"/>
      <c r="D506" s="59"/>
      <c r="E506" s="4"/>
      <c r="F506" s="59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 spans="1:30" ht="14.25" customHeight="1">
      <c r="A507" s="58"/>
      <c r="B507" s="4"/>
      <c r="C507" s="4"/>
      <c r="D507" s="59"/>
      <c r="E507" s="4"/>
      <c r="F507" s="59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 spans="1:30" ht="14.25" customHeight="1">
      <c r="A508" s="58"/>
      <c r="B508" s="4"/>
      <c r="C508" s="4"/>
      <c r="D508" s="59"/>
      <c r="E508" s="4"/>
      <c r="F508" s="59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 spans="1:30" ht="14.25" customHeight="1">
      <c r="A509" s="58"/>
      <c r="B509" s="4"/>
      <c r="C509" s="4"/>
      <c r="D509" s="59"/>
      <c r="E509" s="4"/>
      <c r="F509" s="59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 spans="1:30" ht="14.25" customHeight="1">
      <c r="A510" s="58"/>
      <c r="B510" s="4"/>
      <c r="C510" s="4"/>
      <c r="D510" s="59"/>
      <c r="E510" s="4"/>
      <c r="F510" s="59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 spans="1:30" ht="14.25" customHeight="1">
      <c r="A511" s="58"/>
      <c r="B511" s="4"/>
      <c r="C511" s="4"/>
      <c r="D511" s="59"/>
      <c r="E511" s="4"/>
      <c r="F511" s="59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 spans="1:30" ht="14.25" customHeight="1">
      <c r="A512" s="58"/>
      <c r="B512" s="4"/>
      <c r="C512" s="4"/>
      <c r="D512" s="59"/>
      <c r="E512" s="4"/>
      <c r="F512" s="59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 spans="1:30" ht="14.25" customHeight="1">
      <c r="A513" s="58"/>
      <c r="B513" s="4"/>
      <c r="C513" s="4"/>
      <c r="D513" s="59"/>
      <c r="E513" s="4"/>
      <c r="F513" s="59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 spans="1:30" ht="14.25" customHeight="1">
      <c r="A514" s="58"/>
      <c r="B514" s="4"/>
      <c r="C514" s="4"/>
      <c r="D514" s="59"/>
      <c r="E514" s="4"/>
      <c r="F514" s="59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 spans="1:30" ht="14.25" customHeight="1">
      <c r="A515" s="58"/>
      <c r="B515" s="4"/>
      <c r="C515" s="4"/>
      <c r="D515" s="59"/>
      <c r="E515" s="4"/>
      <c r="F515" s="59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 spans="1:30" ht="14.25" customHeight="1">
      <c r="A516" s="58"/>
      <c r="B516" s="4"/>
      <c r="C516" s="4"/>
      <c r="D516" s="59"/>
      <c r="E516" s="4"/>
      <c r="F516" s="59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 spans="1:30" ht="14.25" customHeight="1">
      <c r="A517" s="58"/>
      <c r="B517" s="4"/>
      <c r="C517" s="4"/>
      <c r="D517" s="59"/>
      <c r="E517" s="4"/>
      <c r="F517" s="59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 spans="1:30" ht="14.25" customHeight="1">
      <c r="A518" s="58"/>
      <c r="B518" s="4"/>
      <c r="C518" s="4"/>
      <c r="D518" s="59"/>
      <c r="E518" s="4"/>
      <c r="F518" s="59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 spans="1:30" ht="14.25" customHeight="1">
      <c r="A519" s="58"/>
      <c r="B519" s="4"/>
      <c r="C519" s="4"/>
      <c r="D519" s="59"/>
      <c r="E519" s="4"/>
      <c r="F519" s="59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 spans="1:30" ht="14.25" customHeight="1">
      <c r="A520" s="58"/>
      <c r="B520" s="4"/>
      <c r="C520" s="4"/>
      <c r="D520" s="59"/>
      <c r="E520" s="4"/>
      <c r="F520" s="59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 spans="1:30" ht="14.25" customHeight="1">
      <c r="A521" s="58"/>
      <c r="B521" s="4"/>
      <c r="C521" s="4"/>
      <c r="D521" s="59"/>
      <c r="E521" s="4"/>
      <c r="F521" s="59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 spans="1:30" ht="14.25" customHeight="1">
      <c r="A522" s="58"/>
      <c r="B522" s="4"/>
      <c r="C522" s="4"/>
      <c r="D522" s="59"/>
      <c r="E522" s="4"/>
      <c r="F522" s="59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 spans="1:30" ht="14.25" customHeight="1">
      <c r="A523" s="58"/>
      <c r="B523" s="4"/>
      <c r="C523" s="4"/>
      <c r="D523" s="59"/>
      <c r="E523" s="4"/>
      <c r="F523" s="59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 spans="1:30" ht="14.25" customHeight="1">
      <c r="A524" s="58"/>
      <c r="B524" s="4"/>
      <c r="C524" s="4"/>
      <c r="D524" s="59"/>
      <c r="E524" s="4"/>
      <c r="F524" s="59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 spans="1:30" ht="14.25" customHeight="1">
      <c r="A525" s="58"/>
      <c r="B525" s="4"/>
      <c r="C525" s="4"/>
      <c r="D525" s="59"/>
      <c r="E525" s="4"/>
      <c r="F525" s="59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 spans="1:30" ht="14.25" customHeight="1">
      <c r="A526" s="58"/>
      <c r="B526" s="4"/>
      <c r="C526" s="4"/>
      <c r="D526" s="59"/>
      <c r="E526" s="4"/>
      <c r="F526" s="59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 spans="1:30" ht="14.25" customHeight="1">
      <c r="A527" s="58"/>
      <c r="B527" s="4"/>
      <c r="C527" s="4"/>
      <c r="D527" s="59"/>
      <c r="E527" s="4"/>
      <c r="F527" s="59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 spans="1:30" ht="14.25" customHeight="1">
      <c r="A528" s="58"/>
      <c r="B528" s="4"/>
      <c r="C528" s="4"/>
      <c r="D528" s="59"/>
      <c r="E528" s="4"/>
      <c r="F528" s="59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spans="1:30" ht="14.25" customHeight="1">
      <c r="A529" s="58"/>
      <c r="B529" s="4"/>
      <c r="C529" s="4"/>
      <c r="D529" s="59"/>
      <c r="E529" s="4"/>
      <c r="F529" s="59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 spans="1:30" ht="14.25" customHeight="1">
      <c r="A530" s="58"/>
      <c r="B530" s="4"/>
      <c r="C530" s="4"/>
      <c r="D530" s="59"/>
      <c r="E530" s="4"/>
      <c r="F530" s="59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 spans="1:30" ht="14.25" customHeight="1">
      <c r="A531" s="58"/>
      <c r="B531" s="4"/>
      <c r="C531" s="4"/>
      <c r="D531" s="59"/>
      <c r="E531" s="4"/>
      <c r="F531" s="59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 spans="1:30" ht="14.25" customHeight="1">
      <c r="A532" s="58"/>
      <c r="B532" s="4"/>
      <c r="C532" s="4"/>
      <c r="D532" s="59"/>
      <c r="E532" s="4"/>
      <c r="F532" s="59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 spans="1:30" ht="14.25" customHeight="1">
      <c r="A533" s="58"/>
      <c r="B533" s="4"/>
      <c r="C533" s="4"/>
      <c r="D533" s="59"/>
      <c r="E533" s="4"/>
      <c r="F533" s="59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 spans="1:30" ht="14.25" customHeight="1">
      <c r="A534" s="58"/>
      <c r="B534" s="4"/>
      <c r="C534" s="4"/>
      <c r="D534" s="59"/>
      <c r="E534" s="4"/>
      <c r="F534" s="59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 spans="1:30" ht="14.25" customHeight="1">
      <c r="A535" s="58"/>
      <c r="B535" s="4"/>
      <c r="C535" s="4"/>
      <c r="D535" s="59"/>
      <c r="E535" s="4"/>
      <c r="F535" s="59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 spans="1:30" ht="14.25" customHeight="1">
      <c r="A536" s="58"/>
      <c r="B536" s="4"/>
      <c r="C536" s="4"/>
      <c r="D536" s="59"/>
      <c r="E536" s="4"/>
      <c r="F536" s="59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 spans="1:30" ht="14.25" customHeight="1">
      <c r="A537" s="58"/>
      <c r="B537" s="4"/>
      <c r="C537" s="4"/>
      <c r="D537" s="59"/>
      <c r="E537" s="4"/>
      <c r="F537" s="59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 spans="1:30" ht="14.25" customHeight="1">
      <c r="A538" s="58"/>
      <c r="B538" s="4"/>
      <c r="C538" s="4"/>
      <c r="D538" s="59"/>
      <c r="E538" s="4"/>
      <c r="F538" s="59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 spans="1:30" ht="14.25" customHeight="1">
      <c r="A539" s="58"/>
      <c r="B539" s="4"/>
      <c r="C539" s="4"/>
      <c r="D539" s="59"/>
      <c r="E539" s="4"/>
      <c r="F539" s="59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 spans="1:30" ht="14.25" customHeight="1">
      <c r="A540" s="58"/>
      <c r="B540" s="4"/>
      <c r="C540" s="4"/>
      <c r="D540" s="59"/>
      <c r="E540" s="4"/>
      <c r="F540" s="59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 spans="1:30" ht="14.25" customHeight="1">
      <c r="A541" s="58"/>
      <c r="B541" s="4"/>
      <c r="C541" s="4"/>
      <c r="D541" s="59"/>
      <c r="E541" s="4"/>
      <c r="F541" s="59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 spans="1:30" ht="14.25" customHeight="1">
      <c r="A542" s="58"/>
      <c r="B542" s="4"/>
      <c r="C542" s="4"/>
      <c r="D542" s="59"/>
      <c r="E542" s="4"/>
      <c r="F542" s="59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 spans="1:30" ht="14.25" customHeight="1">
      <c r="A543" s="58"/>
      <c r="B543" s="4"/>
      <c r="C543" s="4"/>
      <c r="D543" s="59"/>
      <c r="E543" s="4"/>
      <c r="F543" s="59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 spans="1:30" ht="14.25" customHeight="1">
      <c r="A544" s="58"/>
      <c r="B544" s="4"/>
      <c r="C544" s="4"/>
      <c r="D544" s="59"/>
      <c r="E544" s="4"/>
      <c r="F544" s="59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 spans="1:30" ht="14.25" customHeight="1">
      <c r="A545" s="58"/>
      <c r="B545" s="4"/>
      <c r="C545" s="4"/>
      <c r="D545" s="59"/>
      <c r="E545" s="4"/>
      <c r="F545" s="59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 spans="1:30" ht="14.25" customHeight="1">
      <c r="A546" s="58"/>
      <c r="B546" s="4"/>
      <c r="C546" s="4"/>
      <c r="D546" s="59"/>
      <c r="E546" s="4"/>
      <c r="F546" s="59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 spans="1:30" ht="14.25" customHeight="1">
      <c r="A547" s="58"/>
      <c r="B547" s="4"/>
      <c r="C547" s="4"/>
      <c r="D547" s="59"/>
      <c r="E547" s="4"/>
      <c r="F547" s="59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 spans="1:30" ht="14.25" customHeight="1">
      <c r="A548" s="58"/>
      <c r="B548" s="4"/>
      <c r="C548" s="4"/>
      <c r="D548" s="59"/>
      <c r="E548" s="4"/>
      <c r="F548" s="59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 spans="1:30" ht="14.25" customHeight="1">
      <c r="A549" s="58"/>
      <c r="B549" s="4"/>
      <c r="C549" s="4"/>
      <c r="D549" s="59"/>
      <c r="E549" s="4"/>
      <c r="F549" s="59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 spans="1:30" ht="14.25" customHeight="1">
      <c r="A550" s="58"/>
      <c r="B550" s="4"/>
      <c r="C550" s="4"/>
      <c r="D550" s="59"/>
      <c r="E550" s="4"/>
      <c r="F550" s="59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pans="1:30" ht="14.25" customHeight="1">
      <c r="A551" s="58"/>
      <c r="B551" s="4"/>
      <c r="C551" s="4"/>
      <c r="D551" s="59"/>
      <c r="E551" s="4"/>
      <c r="F551" s="59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 spans="1:30" ht="14.25" customHeight="1">
      <c r="A552" s="58"/>
      <c r="B552" s="4"/>
      <c r="C552" s="4"/>
      <c r="D552" s="59"/>
      <c r="E552" s="4"/>
      <c r="F552" s="59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 spans="1:30" ht="14.25" customHeight="1">
      <c r="A553" s="58"/>
      <c r="B553" s="4"/>
      <c r="C553" s="4"/>
      <c r="D553" s="59"/>
      <c r="E553" s="4"/>
      <c r="F553" s="59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 spans="1:30" ht="14.25" customHeight="1">
      <c r="A554" s="58"/>
      <c r="B554" s="4"/>
      <c r="C554" s="4"/>
      <c r="D554" s="59"/>
      <c r="E554" s="4"/>
      <c r="F554" s="59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 spans="1:30" ht="14.25" customHeight="1">
      <c r="A555" s="58"/>
      <c r="B555" s="4"/>
      <c r="C555" s="4"/>
      <c r="D555" s="59"/>
      <c r="E555" s="4"/>
      <c r="F555" s="59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 spans="1:30" ht="14.25" customHeight="1">
      <c r="A556" s="58"/>
      <c r="B556" s="4"/>
      <c r="C556" s="4"/>
      <c r="D556" s="59"/>
      <c r="E556" s="4"/>
      <c r="F556" s="59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 spans="1:30" ht="14.25" customHeight="1">
      <c r="A557" s="58"/>
      <c r="B557" s="4"/>
      <c r="C557" s="4"/>
      <c r="D557" s="59"/>
      <c r="E557" s="4"/>
      <c r="F557" s="59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 spans="1:30" ht="14.25" customHeight="1">
      <c r="A558" s="58"/>
      <c r="B558" s="4"/>
      <c r="C558" s="4"/>
      <c r="D558" s="59"/>
      <c r="E558" s="4"/>
      <c r="F558" s="59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 spans="1:30" ht="14.25" customHeight="1">
      <c r="A559" s="58"/>
      <c r="B559" s="4"/>
      <c r="C559" s="4"/>
      <c r="D559" s="59"/>
      <c r="E559" s="4"/>
      <c r="F559" s="59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 spans="1:30" ht="14.25" customHeight="1">
      <c r="A560" s="58"/>
      <c r="B560" s="4"/>
      <c r="C560" s="4"/>
      <c r="D560" s="59"/>
      <c r="E560" s="4"/>
      <c r="F560" s="59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 spans="1:30" ht="14.25" customHeight="1">
      <c r="A561" s="58"/>
      <c r="B561" s="4"/>
      <c r="C561" s="4"/>
      <c r="D561" s="59"/>
      <c r="E561" s="4"/>
      <c r="F561" s="59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 spans="1:30" ht="14.25" customHeight="1">
      <c r="A562" s="58"/>
      <c r="B562" s="4"/>
      <c r="C562" s="4"/>
      <c r="D562" s="59"/>
      <c r="E562" s="4"/>
      <c r="F562" s="59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 spans="1:30" ht="14.25" customHeight="1">
      <c r="A563" s="58"/>
      <c r="B563" s="4"/>
      <c r="C563" s="4"/>
      <c r="D563" s="59"/>
      <c r="E563" s="4"/>
      <c r="F563" s="59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 spans="1:30" ht="14.25" customHeight="1">
      <c r="A564" s="58"/>
      <c r="B564" s="4"/>
      <c r="C564" s="4"/>
      <c r="D564" s="59"/>
      <c r="E564" s="4"/>
      <c r="F564" s="59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 spans="1:30" ht="14.25" customHeight="1">
      <c r="A565" s="58"/>
      <c r="B565" s="4"/>
      <c r="C565" s="4"/>
      <c r="D565" s="59"/>
      <c r="E565" s="4"/>
      <c r="F565" s="59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 spans="1:30" ht="14.25" customHeight="1">
      <c r="A566" s="58"/>
      <c r="B566" s="4"/>
      <c r="C566" s="4"/>
      <c r="D566" s="59"/>
      <c r="E566" s="4"/>
      <c r="F566" s="59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 spans="1:30" ht="14.25" customHeight="1">
      <c r="A567" s="58"/>
      <c r="B567" s="4"/>
      <c r="C567" s="4"/>
      <c r="D567" s="59"/>
      <c r="E567" s="4"/>
      <c r="F567" s="59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 spans="1:30" ht="14.25" customHeight="1">
      <c r="A568" s="58"/>
      <c r="B568" s="4"/>
      <c r="C568" s="4"/>
      <c r="D568" s="59"/>
      <c r="E568" s="4"/>
      <c r="F568" s="59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 spans="1:30" ht="14.25" customHeight="1">
      <c r="A569" s="58"/>
      <c r="B569" s="4"/>
      <c r="C569" s="4"/>
      <c r="D569" s="59"/>
      <c r="E569" s="4"/>
      <c r="F569" s="59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 spans="1:30" ht="14.25" customHeight="1">
      <c r="A570" s="58"/>
      <c r="B570" s="4"/>
      <c r="C570" s="4"/>
      <c r="D570" s="59"/>
      <c r="E570" s="4"/>
      <c r="F570" s="59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 spans="1:30" ht="14.25" customHeight="1">
      <c r="A571" s="58"/>
      <c r="B571" s="4"/>
      <c r="C571" s="4"/>
      <c r="D571" s="59"/>
      <c r="E571" s="4"/>
      <c r="F571" s="59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 spans="1:30" ht="14.25" customHeight="1">
      <c r="A572" s="58"/>
      <c r="B572" s="4"/>
      <c r="C572" s="4"/>
      <c r="D572" s="59"/>
      <c r="E572" s="4"/>
      <c r="F572" s="59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 spans="1:30" ht="14.25" customHeight="1">
      <c r="A573" s="58"/>
      <c r="B573" s="4"/>
      <c r="C573" s="4"/>
      <c r="D573" s="59"/>
      <c r="E573" s="4"/>
      <c r="F573" s="59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 spans="1:30" ht="14.25" customHeight="1">
      <c r="A574" s="58"/>
      <c r="B574" s="4"/>
      <c r="C574" s="4"/>
      <c r="D574" s="59"/>
      <c r="E574" s="4"/>
      <c r="F574" s="59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 spans="1:30" ht="14.25" customHeight="1">
      <c r="A575" s="58"/>
      <c r="B575" s="4"/>
      <c r="C575" s="4"/>
      <c r="D575" s="59"/>
      <c r="E575" s="4"/>
      <c r="F575" s="59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 spans="1:30" ht="14.25" customHeight="1">
      <c r="A576" s="58"/>
      <c r="B576" s="4"/>
      <c r="C576" s="4"/>
      <c r="D576" s="59"/>
      <c r="E576" s="4"/>
      <c r="F576" s="59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 spans="1:30" ht="14.25" customHeight="1">
      <c r="A577" s="58"/>
      <c r="B577" s="4"/>
      <c r="C577" s="4"/>
      <c r="D577" s="59"/>
      <c r="E577" s="4"/>
      <c r="F577" s="59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 spans="1:30" ht="14.25" customHeight="1">
      <c r="A578" s="58"/>
      <c r="B578" s="4"/>
      <c r="C578" s="4"/>
      <c r="D578" s="59"/>
      <c r="E578" s="4"/>
      <c r="F578" s="59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 spans="1:30" ht="14.25" customHeight="1">
      <c r="A579" s="58"/>
      <c r="B579" s="4"/>
      <c r="C579" s="4"/>
      <c r="D579" s="59"/>
      <c r="E579" s="4"/>
      <c r="F579" s="59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 spans="1:30" ht="14.25" customHeight="1">
      <c r="A580" s="58"/>
      <c r="B580" s="4"/>
      <c r="C580" s="4"/>
      <c r="D580" s="59"/>
      <c r="E580" s="4"/>
      <c r="F580" s="59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 spans="1:30" ht="14.25" customHeight="1">
      <c r="A581" s="58"/>
      <c r="B581" s="4"/>
      <c r="C581" s="4"/>
      <c r="D581" s="59"/>
      <c r="E581" s="4"/>
      <c r="F581" s="59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 spans="1:30" ht="14.25" customHeight="1">
      <c r="A582" s="58"/>
      <c r="B582" s="4"/>
      <c r="C582" s="4"/>
      <c r="D582" s="59"/>
      <c r="E582" s="4"/>
      <c r="F582" s="59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 spans="1:30" ht="14.25" customHeight="1">
      <c r="A583" s="58"/>
      <c r="B583" s="4"/>
      <c r="C583" s="4"/>
      <c r="D583" s="59"/>
      <c r="E583" s="4"/>
      <c r="F583" s="59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 spans="1:30" ht="14.25" customHeight="1">
      <c r="A584" s="58"/>
      <c r="B584" s="4"/>
      <c r="C584" s="4"/>
      <c r="D584" s="59"/>
      <c r="E584" s="4"/>
      <c r="F584" s="59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 spans="1:30" ht="14.25" customHeight="1">
      <c r="A585" s="58"/>
      <c r="B585" s="4"/>
      <c r="C585" s="4"/>
      <c r="D585" s="59"/>
      <c r="E585" s="4"/>
      <c r="F585" s="59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 spans="1:30" ht="14.25" customHeight="1">
      <c r="A586" s="58"/>
      <c r="B586" s="4"/>
      <c r="C586" s="4"/>
      <c r="D586" s="59"/>
      <c r="E586" s="4"/>
      <c r="F586" s="59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 spans="1:30" ht="14.25" customHeight="1">
      <c r="A587" s="58"/>
      <c r="B587" s="4"/>
      <c r="C587" s="4"/>
      <c r="D587" s="59"/>
      <c r="E587" s="4"/>
      <c r="F587" s="59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 spans="1:30" ht="14.25" customHeight="1">
      <c r="A588" s="58"/>
      <c r="B588" s="4"/>
      <c r="C588" s="4"/>
      <c r="D588" s="59"/>
      <c r="E588" s="4"/>
      <c r="F588" s="59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 spans="1:30" ht="14.25" customHeight="1">
      <c r="A589" s="58"/>
      <c r="B589" s="4"/>
      <c r="C589" s="4"/>
      <c r="D589" s="59"/>
      <c r="E589" s="4"/>
      <c r="F589" s="59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 spans="1:30" ht="14.25" customHeight="1">
      <c r="A590" s="58"/>
      <c r="B590" s="4"/>
      <c r="C590" s="4"/>
      <c r="D590" s="59"/>
      <c r="E590" s="4"/>
      <c r="F590" s="59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 spans="1:30" ht="14.25" customHeight="1">
      <c r="A591" s="58"/>
      <c r="B591" s="4"/>
      <c r="C591" s="4"/>
      <c r="D591" s="59"/>
      <c r="E591" s="4"/>
      <c r="F591" s="59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 spans="1:30" ht="14.25" customHeight="1">
      <c r="A592" s="58"/>
      <c r="B592" s="4"/>
      <c r="C592" s="4"/>
      <c r="D592" s="59"/>
      <c r="E592" s="4"/>
      <c r="F592" s="59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 spans="1:30" ht="14.25" customHeight="1">
      <c r="A593" s="58"/>
      <c r="B593" s="4"/>
      <c r="C593" s="4"/>
      <c r="D593" s="59"/>
      <c r="E593" s="4"/>
      <c r="F593" s="59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 spans="1:30" ht="14.25" customHeight="1">
      <c r="A594" s="58"/>
      <c r="B594" s="4"/>
      <c r="C594" s="4"/>
      <c r="D594" s="59"/>
      <c r="E594" s="4"/>
      <c r="F594" s="59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 spans="1:30" ht="14.25" customHeight="1">
      <c r="A595" s="58"/>
      <c r="B595" s="4"/>
      <c r="C595" s="4"/>
      <c r="D595" s="59"/>
      <c r="E595" s="4"/>
      <c r="F595" s="59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 spans="1:30" ht="14.25" customHeight="1">
      <c r="A596" s="58"/>
      <c r="B596" s="4"/>
      <c r="C596" s="4"/>
      <c r="D596" s="59"/>
      <c r="E596" s="4"/>
      <c r="F596" s="59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spans="1:30" ht="14.25" customHeight="1">
      <c r="A597" s="58"/>
      <c r="B597" s="4"/>
      <c r="C597" s="4"/>
      <c r="D597" s="59"/>
      <c r="E597" s="4"/>
      <c r="F597" s="59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spans="1:30" ht="14.25" customHeight="1">
      <c r="A598" s="58"/>
      <c r="B598" s="4"/>
      <c r="C598" s="4"/>
      <c r="D598" s="59"/>
      <c r="E598" s="4"/>
      <c r="F598" s="59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spans="1:30" ht="14.25" customHeight="1">
      <c r="A599" s="58"/>
      <c r="B599" s="4"/>
      <c r="C599" s="4"/>
      <c r="D599" s="59"/>
      <c r="E599" s="4"/>
      <c r="F599" s="59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spans="1:30" ht="14.25" customHeight="1">
      <c r="A600" s="58"/>
      <c r="B600" s="4"/>
      <c r="C600" s="4"/>
      <c r="D600" s="59"/>
      <c r="E600" s="4"/>
      <c r="F600" s="59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spans="1:30" ht="14.25" customHeight="1">
      <c r="A601" s="58"/>
      <c r="B601" s="4"/>
      <c r="C601" s="4"/>
      <c r="D601" s="59"/>
      <c r="E601" s="4"/>
      <c r="F601" s="59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spans="1:30" ht="14.25" customHeight="1">
      <c r="A602" s="58"/>
      <c r="B602" s="4"/>
      <c r="C602" s="4"/>
      <c r="D602" s="59"/>
      <c r="E602" s="4"/>
      <c r="F602" s="59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spans="1:30" ht="14.25" customHeight="1">
      <c r="A603" s="58"/>
      <c r="B603" s="4"/>
      <c r="C603" s="4"/>
      <c r="D603" s="59"/>
      <c r="E603" s="4"/>
      <c r="F603" s="59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spans="1:30" ht="14.25" customHeight="1">
      <c r="A604" s="58"/>
      <c r="B604" s="4"/>
      <c r="C604" s="4"/>
      <c r="D604" s="59"/>
      <c r="E604" s="4"/>
      <c r="F604" s="59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spans="1:30" ht="14.25" customHeight="1">
      <c r="A605" s="58"/>
      <c r="B605" s="4"/>
      <c r="C605" s="4"/>
      <c r="D605" s="59"/>
      <c r="E605" s="4"/>
      <c r="F605" s="59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spans="1:30" ht="14.25" customHeight="1">
      <c r="A606" s="58"/>
      <c r="B606" s="4"/>
      <c r="C606" s="4"/>
      <c r="D606" s="59"/>
      <c r="E606" s="4"/>
      <c r="F606" s="59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spans="1:30" ht="14.25" customHeight="1">
      <c r="A607" s="58"/>
      <c r="B607" s="4"/>
      <c r="C607" s="4"/>
      <c r="D607" s="59"/>
      <c r="E607" s="4"/>
      <c r="F607" s="59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spans="1:30" ht="14.25" customHeight="1">
      <c r="A608" s="58"/>
      <c r="B608" s="4"/>
      <c r="C608" s="4"/>
      <c r="D608" s="59"/>
      <c r="E608" s="4"/>
      <c r="F608" s="59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spans="1:30" ht="14.25" customHeight="1">
      <c r="A609" s="58"/>
      <c r="B609" s="4"/>
      <c r="C609" s="4"/>
      <c r="D609" s="59"/>
      <c r="E609" s="4"/>
      <c r="F609" s="59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spans="1:30" ht="14.25" customHeight="1">
      <c r="A610" s="58"/>
      <c r="B610" s="4"/>
      <c r="C610" s="4"/>
      <c r="D610" s="59"/>
      <c r="E610" s="4"/>
      <c r="F610" s="59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spans="1:30" ht="14.25" customHeight="1">
      <c r="A611" s="58"/>
      <c r="B611" s="4"/>
      <c r="C611" s="4"/>
      <c r="D611" s="59"/>
      <c r="E611" s="4"/>
      <c r="F611" s="59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spans="1:30" ht="14.25" customHeight="1">
      <c r="A612" s="58"/>
      <c r="B612" s="4"/>
      <c r="C612" s="4"/>
      <c r="D612" s="59"/>
      <c r="E612" s="4"/>
      <c r="F612" s="59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spans="1:30" ht="14.25" customHeight="1">
      <c r="A613" s="58"/>
      <c r="B613" s="4"/>
      <c r="C613" s="4"/>
      <c r="D613" s="59"/>
      <c r="E613" s="4"/>
      <c r="F613" s="59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spans="1:30" ht="14.25" customHeight="1">
      <c r="A614" s="58"/>
      <c r="B614" s="4"/>
      <c r="C614" s="4"/>
      <c r="D614" s="59"/>
      <c r="E614" s="4"/>
      <c r="F614" s="59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spans="1:30" ht="14.25" customHeight="1">
      <c r="A615" s="58"/>
      <c r="B615" s="4"/>
      <c r="C615" s="4"/>
      <c r="D615" s="59"/>
      <c r="E615" s="4"/>
      <c r="F615" s="59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spans="1:30" ht="14.25" customHeight="1">
      <c r="A616" s="58"/>
      <c r="B616" s="4"/>
      <c r="C616" s="4"/>
      <c r="D616" s="59"/>
      <c r="E616" s="4"/>
      <c r="F616" s="59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spans="1:30" ht="14.25" customHeight="1">
      <c r="A617" s="58"/>
      <c r="B617" s="4"/>
      <c r="C617" s="4"/>
      <c r="D617" s="59"/>
      <c r="E617" s="4"/>
      <c r="F617" s="59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spans="1:30" ht="14.25" customHeight="1">
      <c r="A618" s="58"/>
      <c r="B618" s="4"/>
      <c r="C618" s="4"/>
      <c r="D618" s="59"/>
      <c r="E618" s="4"/>
      <c r="F618" s="59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spans="1:30" ht="14.25" customHeight="1">
      <c r="A619" s="58"/>
      <c r="B619" s="4"/>
      <c r="C619" s="4"/>
      <c r="D619" s="59"/>
      <c r="E619" s="4"/>
      <c r="F619" s="59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spans="1:30" ht="14.25" customHeight="1">
      <c r="A620" s="58"/>
      <c r="B620" s="4"/>
      <c r="C620" s="4"/>
      <c r="D620" s="59"/>
      <c r="E620" s="4"/>
      <c r="F620" s="59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spans="1:30" ht="14.25" customHeight="1">
      <c r="A621" s="58"/>
      <c r="B621" s="4"/>
      <c r="C621" s="4"/>
      <c r="D621" s="59"/>
      <c r="E621" s="4"/>
      <c r="F621" s="59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spans="1:30" ht="14.25" customHeight="1">
      <c r="A622" s="58"/>
      <c r="B622" s="4"/>
      <c r="C622" s="4"/>
      <c r="D622" s="59"/>
      <c r="E622" s="4"/>
      <c r="F622" s="59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spans="1:30" ht="14.25" customHeight="1">
      <c r="A623" s="58"/>
      <c r="B623" s="4"/>
      <c r="C623" s="4"/>
      <c r="D623" s="59"/>
      <c r="E623" s="4"/>
      <c r="F623" s="59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spans="1:30" ht="14.25" customHeight="1">
      <c r="A624" s="58"/>
      <c r="B624" s="4"/>
      <c r="C624" s="4"/>
      <c r="D624" s="59"/>
      <c r="E624" s="4"/>
      <c r="F624" s="59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spans="1:30" ht="14.25" customHeight="1">
      <c r="A625" s="58"/>
      <c r="B625" s="4"/>
      <c r="C625" s="4"/>
      <c r="D625" s="59"/>
      <c r="E625" s="4"/>
      <c r="F625" s="59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spans="1:30" ht="14.25" customHeight="1">
      <c r="A626" s="58"/>
      <c r="B626" s="4"/>
      <c r="C626" s="4"/>
      <c r="D626" s="59"/>
      <c r="E626" s="4"/>
      <c r="F626" s="59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spans="1:30" ht="14.25" customHeight="1">
      <c r="A627" s="58"/>
      <c r="B627" s="4"/>
      <c r="C627" s="4"/>
      <c r="D627" s="59"/>
      <c r="E627" s="4"/>
      <c r="F627" s="59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spans="1:30" ht="14.25" customHeight="1">
      <c r="A628" s="58"/>
      <c r="B628" s="4"/>
      <c r="C628" s="4"/>
      <c r="D628" s="59"/>
      <c r="E628" s="4"/>
      <c r="F628" s="59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spans="1:30" ht="14.25" customHeight="1">
      <c r="A629" s="58"/>
      <c r="B629" s="4"/>
      <c r="C629" s="4"/>
      <c r="D629" s="59"/>
      <c r="E629" s="4"/>
      <c r="F629" s="59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spans="1:30" ht="14.25" customHeight="1">
      <c r="A630" s="58"/>
      <c r="B630" s="4"/>
      <c r="C630" s="4"/>
      <c r="D630" s="59"/>
      <c r="E630" s="4"/>
      <c r="F630" s="59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spans="1:30" ht="14.25" customHeight="1">
      <c r="A631" s="58"/>
      <c r="B631" s="4"/>
      <c r="C631" s="4"/>
      <c r="D631" s="59"/>
      <c r="E631" s="4"/>
      <c r="F631" s="59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spans="1:30" ht="14.25" customHeight="1">
      <c r="A632" s="58"/>
      <c r="B632" s="4"/>
      <c r="C632" s="4"/>
      <c r="D632" s="59"/>
      <c r="E632" s="4"/>
      <c r="F632" s="59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spans="1:30" ht="14.25" customHeight="1">
      <c r="A633" s="58"/>
      <c r="B633" s="4"/>
      <c r="C633" s="4"/>
      <c r="D633" s="59"/>
      <c r="E633" s="4"/>
      <c r="F633" s="59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spans="1:30" ht="14.25" customHeight="1">
      <c r="A634" s="58"/>
      <c r="B634" s="4"/>
      <c r="C634" s="4"/>
      <c r="D634" s="59"/>
      <c r="E634" s="4"/>
      <c r="F634" s="59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spans="1:30" ht="14.25" customHeight="1">
      <c r="A635" s="58"/>
      <c r="B635" s="4"/>
      <c r="C635" s="4"/>
      <c r="D635" s="59"/>
      <c r="E635" s="4"/>
      <c r="F635" s="59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spans="1:30" ht="14.25" customHeight="1">
      <c r="A636" s="58"/>
      <c r="B636" s="4"/>
      <c r="C636" s="4"/>
      <c r="D636" s="59"/>
      <c r="E636" s="4"/>
      <c r="F636" s="59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spans="1:30" ht="14.25" customHeight="1">
      <c r="A637" s="58"/>
      <c r="B637" s="4"/>
      <c r="C637" s="4"/>
      <c r="D637" s="59"/>
      <c r="E637" s="4"/>
      <c r="F637" s="59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spans="1:30" ht="14.25" customHeight="1">
      <c r="A638" s="58"/>
      <c r="B638" s="4"/>
      <c r="C638" s="4"/>
      <c r="D638" s="59"/>
      <c r="E638" s="4"/>
      <c r="F638" s="59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 spans="1:30" ht="14.25" customHeight="1">
      <c r="A639" s="58"/>
      <c r="B639" s="4"/>
      <c r="C639" s="4"/>
      <c r="D639" s="59"/>
      <c r="E639" s="4"/>
      <c r="F639" s="59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 spans="1:30" ht="14.25" customHeight="1">
      <c r="A640" s="58"/>
      <c r="B640" s="4"/>
      <c r="C640" s="4"/>
      <c r="D640" s="59"/>
      <c r="E640" s="4"/>
      <c r="F640" s="59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 spans="1:30" ht="14.25" customHeight="1">
      <c r="A641" s="58"/>
      <c r="B641" s="4"/>
      <c r="C641" s="4"/>
      <c r="D641" s="59"/>
      <c r="E641" s="4"/>
      <c r="F641" s="59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 spans="1:30" ht="14.25" customHeight="1">
      <c r="A642" s="58"/>
      <c r="B642" s="4"/>
      <c r="C642" s="4"/>
      <c r="D642" s="59"/>
      <c r="E642" s="4"/>
      <c r="F642" s="59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 spans="1:30" ht="14.25" customHeight="1">
      <c r="A643" s="58"/>
      <c r="B643" s="4"/>
      <c r="C643" s="4"/>
      <c r="D643" s="59"/>
      <c r="E643" s="4"/>
      <c r="F643" s="59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 spans="1:30" ht="14.25" customHeight="1">
      <c r="A644" s="58"/>
      <c r="B644" s="4"/>
      <c r="C644" s="4"/>
      <c r="D644" s="59"/>
      <c r="E644" s="4"/>
      <c r="F644" s="59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 spans="1:30" ht="14.25" customHeight="1">
      <c r="A645" s="58"/>
      <c r="B645" s="4"/>
      <c r="C645" s="4"/>
      <c r="D645" s="59"/>
      <c r="E645" s="4"/>
      <c r="F645" s="59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 spans="1:30" ht="14.25" customHeight="1">
      <c r="A646" s="58"/>
      <c r="B646" s="4"/>
      <c r="C646" s="4"/>
      <c r="D646" s="59"/>
      <c r="E646" s="4"/>
      <c r="F646" s="59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 spans="1:30" ht="14.25" customHeight="1">
      <c r="A647" s="58"/>
      <c r="B647" s="4"/>
      <c r="C647" s="4"/>
      <c r="D647" s="59"/>
      <c r="E647" s="4"/>
      <c r="F647" s="59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 spans="1:30" ht="14.25" customHeight="1">
      <c r="A648" s="58"/>
      <c r="B648" s="4"/>
      <c r="C648" s="4"/>
      <c r="D648" s="59"/>
      <c r="E648" s="4"/>
      <c r="F648" s="59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 spans="1:30" ht="14.25" customHeight="1">
      <c r="A649" s="58"/>
      <c r="B649" s="4"/>
      <c r="C649" s="4"/>
      <c r="D649" s="59"/>
      <c r="E649" s="4"/>
      <c r="F649" s="59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 spans="1:30" ht="14.25" customHeight="1">
      <c r="A650" s="58"/>
      <c r="B650" s="4"/>
      <c r="C650" s="4"/>
      <c r="D650" s="59"/>
      <c r="E650" s="4"/>
      <c r="F650" s="59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 spans="1:30" ht="14.25" customHeight="1">
      <c r="A651" s="58"/>
      <c r="B651" s="4"/>
      <c r="C651" s="4"/>
      <c r="D651" s="59"/>
      <c r="E651" s="4"/>
      <c r="F651" s="59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 spans="1:30" ht="14.25" customHeight="1">
      <c r="A652" s="58"/>
      <c r="B652" s="4"/>
      <c r="C652" s="4"/>
      <c r="D652" s="59"/>
      <c r="E652" s="4"/>
      <c r="F652" s="59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 spans="1:30" ht="14.25" customHeight="1">
      <c r="A653" s="58"/>
      <c r="B653" s="4"/>
      <c r="C653" s="4"/>
      <c r="D653" s="59"/>
      <c r="E653" s="4"/>
      <c r="F653" s="59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 spans="1:30" ht="14.25" customHeight="1">
      <c r="A654" s="58"/>
      <c r="B654" s="4"/>
      <c r="C654" s="4"/>
      <c r="D654" s="59"/>
      <c r="E654" s="4"/>
      <c r="F654" s="59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 spans="1:30" ht="14.25" customHeight="1">
      <c r="A655" s="58"/>
      <c r="B655" s="4"/>
      <c r="C655" s="4"/>
      <c r="D655" s="59"/>
      <c r="E655" s="4"/>
      <c r="F655" s="59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 spans="1:30" ht="14.25" customHeight="1">
      <c r="A656" s="58"/>
      <c r="B656" s="4"/>
      <c r="C656" s="4"/>
      <c r="D656" s="59"/>
      <c r="E656" s="4"/>
      <c r="F656" s="59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 spans="1:30" ht="14.25" customHeight="1">
      <c r="A657" s="58"/>
      <c r="B657" s="4"/>
      <c r="C657" s="4"/>
      <c r="D657" s="59"/>
      <c r="E657" s="4"/>
      <c r="F657" s="59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 spans="1:30" ht="14.25" customHeight="1">
      <c r="A658" s="58"/>
      <c r="B658" s="4"/>
      <c r="C658" s="4"/>
      <c r="D658" s="59"/>
      <c r="E658" s="4"/>
      <c r="F658" s="59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 spans="1:30" ht="14.25" customHeight="1">
      <c r="A659" s="58"/>
      <c r="B659" s="4"/>
      <c r="C659" s="4"/>
      <c r="D659" s="59"/>
      <c r="E659" s="4"/>
      <c r="F659" s="59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 spans="1:30" ht="14.25" customHeight="1">
      <c r="A660" s="58"/>
      <c r="B660" s="4"/>
      <c r="C660" s="4"/>
      <c r="D660" s="59"/>
      <c r="E660" s="4"/>
      <c r="F660" s="59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 spans="1:30" ht="14.25" customHeight="1">
      <c r="A661" s="58"/>
      <c r="B661" s="4"/>
      <c r="C661" s="4"/>
      <c r="D661" s="59"/>
      <c r="E661" s="4"/>
      <c r="F661" s="59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 spans="1:30" ht="14.25" customHeight="1">
      <c r="A662" s="58"/>
      <c r="B662" s="4"/>
      <c r="C662" s="4"/>
      <c r="D662" s="59"/>
      <c r="E662" s="4"/>
      <c r="F662" s="59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 spans="1:30" ht="14.25" customHeight="1">
      <c r="A663" s="58"/>
      <c r="B663" s="4"/>
      <c r="C663" s="4"/>
      <c r="D663" s="59"/>
      <c r="E663" s="4"/>
      <c r="F663" s="59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 spans="1:30" ht="14.25" customHeight="1">
      <c r="A664" s="58"/>
      <c r="B664" s="4"/>
      <c r="C664" s="4"/>
      <c r="D664" s="59"/>
      <c r="E664" s="4"/>
      <c r="F664" s="59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 spans="1:30" ht="14.25" customHeight="1">
      <c r="A665" s="58"/>
      <c r="B665" s="4"/>
      <c r="C665" s="4"/>
      <c r="D665" s="59"/>
      <c r="E665" s="4"/>
      <c r="F665" s="59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 spans="1:30" ht="14.25" customHeight="1">
      <c r="A666" s="58"/>
      <c r="B666" s="4"/>
      <c r="C666" s="4"/>
      <c r="D666" s="59"/>
      <c r="E666" s="4"/>
      <c r="F666" s="59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 spans="1:30" ht="14.25" customHeight="1">
      <c r="A667" s="58"/>
      <c r="B667" s="4"/>
      <c r="C667" s="4"/>
      <c r="D667" s="59"/>
      <c r="E667" s="4"/>
      <c r="F667" s="59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 spans="1:30" ht="14.25" customHeight="1">
      <c r="A668" s="58"/>
      <c r="B668" s="4"/>
      <c r="C668" s="4"/>
      <c r="D668" s="59"/>
      <c r="E668" s="4"/>
      <c r="F668" s="59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spans="1:30" ht="14.25" customHeight="1">
      <c r="A669" s="58"/>
      <c r="B669" s="4"/>
      <c r="C669" s="4"/>
      <c r="D669" s="59"/>
      <c r="E669" s="4"/>
      <c r="F669" s="59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 spans="1:30" ht="14.25" customHeight="1">
      <c r="A670" s="58"/>
      <c r="B670" s="4"/>
      <c r="C670" s="4"/>
      <c r="D670" s="59"/>
      <c r="E670" s="4"/>
      <c r="F670" s="59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 spans="1:30" ht="14.25" customHeight="1">
      <c r="A671" s="58"/>
      <c r="B671" s="4"/>
      <c r="C671" s="4"/>
      <c r="D671" s="59"/>
      <c r="E671" s="4"/>
      <c r="F671" s="59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 spans="1:30" ht="14.25" customHeight="1">
      <c r="A672" s="58"/>
      <c r="B672" s="4"/>
      <c r="C672" s="4"/>
      <c r="D672" s="59"/>
      <c r="E672" s="4"/>
      <c r="F672" s="59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 spans="1:30" ht="14.25" customHeight="1">
      <c r="A673" s="58"/>
      <c r="B673" s="4"/>
      <c r="C673" s="4"/>
      <c r="D673" s="59"/>
      <c r="E673" s="4"/>
      <c r="F673" s="59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 spans="1:30" ht="14.25" customHeight="1">
      <c r="A674" s="58"/>
      <c r="B674" s="4"/>
      <c r="C674" s="4"/>
      <c r="D674" s="59"/>
      <c r="E674" s="4"/>
      <c r="F674" s="59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 spans="1:30" ht="14.25" customHeight="1">
      <c r="A675" s="58"/>
      <c r="B675" s="4"/>
      <c r="C675" s="4"/>
      <c r="D675" s="59"/>
      <c r="E675" s="4"/>
      <c r="F675" s="59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 spans="1:30" ht="14.25" customHeight="1">
      <c r="A676" s="58"/>
      <c r="B676" s="4"/>
      <c r="C676" s="4"/>
      <c r="D676" s="59"/>
      <c r="E676" s="4"/>
      <c r="F676" s="59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 spans="1:30" ht="14.25" customHeight="1">
      <c r="A677" s="58"/>
      <c r="B677" s="4"/>
      <c r="C677" s="4"/>
      <c r="D677" s="59"/>
      <c r="E677" s="4"/>
      <c r="F677" s="59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 spans="1:30" ht="14.25" customHeight="1">
      <c r="A678" s="58"/>
      <c r="B678" s="4"/>
      <c r="C678" s="4"/>
      <c r="D678" s="59"/>
      <c r="E678" s="4"/>
      <c r="F678" s="59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 spans="1:30" ht="14.25" customHeight="1">
      <c r="A679" s="58"/>
      <c r="B679" s="4"/>
      <c r="C679" s="4"/>
      <c r="D679" s="59"/>
      <c r="E679" s="4"/>
      <c r="F679" s="59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 spans="1:30" ht="14.25" customHeight="1">
      <c r="A680" s="58"/>
      <c r="B680" s="4"/>
      <c r="C680" s="4"/>
      <c r="D680" s="59"/>
      <c r="E680" s="4"/>
      <c r="F680" s="59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 spans="1:30" ht="14.25" customHeight="1">
      <c r="A681" s="58"/>
      <c r="B681" s="4"/>
      <c r="C681" s="4"/>
      <c r="D681" s="59"/>
      <c r="E681" s="4"/>
      <c r="F681" s="59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 spans="1:30" ht="14.25" customHeight="1">
      <c r="A682" s="58"/>
      <c r="B682" s="4"/>
      <c r="C682" s="4"/>
      <c r="D682" s="59"/>
      <c r="E682" s="4"/>
      <c r="F682" s="59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 spans="1:30" ht="14.25" customHeight="1">
      <c r="A683" s="58"/>
      <c r="B683" s="4"/>
      <c r="C683" s="4"/>
      <c r="D683" s="59"/>
      <c r="E683" s="4"/>
      <c r="F683" s="59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 spans="1:30" ht="14.25" customHeight="1">
      <c r="A684" s="58"/>
      <c r="B684" s="4"/>
      <c r="C684" s="4"/>
      <c r="D684" s="59"/>
      <c r="E684" s="4"/>
      <c r="F684" s="59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 spans="1:30" ht="14.25" customHeight="1">
      <c r="A685" s="58"/>
      <c r="B685" s="4"/>
      <c r="C685" s="4"/>
      <c r="D685" s="59"/>
      <c r="E685" s="4"/>
      <c r="F685" s="59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 spans="1:30" ht="14.25" customHeight="1">
      <c r="A686" s="58"/>
      <c r="B686" s="4"/>
      <c r="C686" s="4"/>
      <c r="D686" s="59"/>
      <c r="E686" s="4"/>
      <c r="F686" s="59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 spans="1:30" ht="14.25" customHeight="1">
      <c r="A687" s="58"/>
      <c r="B687" s="4"/>
      <c r="C687" s="4"/>
      <c r="D687" s="59"/>
      <c r="E687" s="4"/>
      <c r="F687" s="59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 spans="1:30" ht="14.25" customHeight="1">
      <c r="A688" s="58"/>
      <c r="B688" s="4"/>
      <c r="C688" s="4"/>
      <c r="D688" s="59"/>
      <c r="E688" s="4"/>
      <c r="F688" s="59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 spans="1:30" ht="14.25" customHeight="1">
      <c r="A689" s="58"/>
      <c r="B689" s="4"/>
      <c r="C689" s="4"/>
      <c r="D689" s="59"/>
      <c r="E689" s="4"/>
      <c r="F689" s="59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 spans="1:30" ht="14.25" customHeight="1">
      <c r="A690" s="58"/>
      <c r="B690" s="4"/>
      <c r="C690" s="4"/>
      <c r="D690" s="59"/>
      <c r="E690" s="4"/>
      <c r="F690" s="59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 spans="1:30" ht="14.25" customHeight="1">
      <c r="A691" s="58"/>
      <c r="B691" s="4"/>
      <c r="C691" s="4"/>
      <c r="D691" s="59"/>
      <c r="E691" s="4"/>
      <c r="F691" s="59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 spans="1:30" ht="14.25" customHeight="1">
      <c r="A692" s="58"/>
      <c r="B692" s="4"/>
      <c r="C692" s="4"/>
      <c r="D692" s="59"/>
      <c r="E692" s="4"/>
      <c r="F692" s="59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 spans="1:30" ht="14.25" customHeight="1">
      <c r="A693" s="58"/>
      <c r="B693" s="4"/>
      <c r="C693" s="4"/>
      <c r="D693" s="59"/>
      <c r="E693" s="4"/>
      <c r="F693" s="59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 spans="1:30" ht="14.25" customHeight="1">
      <c r="A694" s="58"/>
      <c r="B694" s="4"/>
      <c r="C694" s="4"/>
      <c r="D694" s="59"/>
      <c r="E694" s="4"/>
      <c r="F694" s="59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 spans="1:30" ht="14.25" customHeight="1">
      <c r="A695" s="58"/>
      <c r="B695" s="4"/>
      <c r="C695" s="4"/>
      <c r="D695" s="59"/>
      <c r="E695" s="4"/>
      <c r="F695" s="59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 spans="1:30" ht="14.25" customHeight="1">
      <c r="A696" s="58"/>
      <c r="B696" s="4"/>
      <c r="C696" s="4"/>
      <c r="D696" s="59"/>
      <c r="E696" s="4"/>
      <c r="F696" s="59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 spans="1:30" ht="14.25" customHeight="1">
      <c r="A697" s="58"/>
      <c r="B697" s="4"/>
      <c r="C697" s="4"/>
      <c r="D697" s="59"/>
      <c r="E697" s="4"/>
      <c r="F697" s="59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 spans="1:30" ht="14.25" customHeight="1">
      <c r="A698" s="58"/>
      <c r="B698" s="4"/>
      <c r="C698" s="4"/>
      <c r="D698" s="59"/>
      <c r="E698" s="4"/>
      <c r="F698" s="59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 spans="1:30" ht="14.25" customHeight="1">
      <c r="A699" s="58"/>
      <c r="B699" s="4"/>
      <c r="C699" s="4"/>
      <c r="D699" s="59"/>
      <c r="E699" s="4"/>
      <c r="F699" s="59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 spans="1:30" ht="14.25" customHeight="1">
      <c r="A700" s="58"/>
      <c r="B700" s="4"/>
      <c r="C700" s="4"/>
      <c r="D700" s="59"/>
      <c r="E700" s="4"/>
      <c r="F700" s="59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 spans="1:30" ht="14.25" customHeight="1">
      <c r="A701" s="58"/>
      <c r="B701" s="4"/>
      <c r="C701" s="4"/>
      <c r="D701" s="59"/>
      <c r="E701" s="4"/>
      <c r="F701" s="59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 spans="1:30" ht="14.25" customHeight="1">
      <c r="A702" s="58"/>
      <c r="B702" s="4"/>
      <c r="C702" s="4"/>
      <c r="D702" s="59"/>
      <c r="E702" s="4"/>
      <c r="F702" s="59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 spans="1:30" ht="14.25" customHeight="1">
      <c r="A703" s="58"/>
      <c r="B703" s="4"/>
      <c r="C703" s="4"/>
      <c r="D703" s="59"/>
      <c r="E703" s="4"/>
      <c r="F703" s="59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 spans="1:30" ht="14.25" customHeight="1">
      <c r="A704" s="58"/>
      <c r="B704" s="4"/>
      <c r="C704" s="4"/>
      <c r="D704" s="59"/>
      <c r="E704" s="4"/>
      <c r="F704" s="59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 spans="1:30" ht="14.25" customHeight="1">
      <c r="A705" s="58"/>
      <c r="B705" s="4"/>
      <c r="C705" s="4"/>
      <c r="D705" s="59"/>
      <c r="E705" s="4"/>
      <c r="F705" s="59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 spans="1:30" ht="14.25" customHeight="1">
      <c r="A706" s="58"/>
      <c r="B706" s="4"/>
      <c r="C706" s="4"/>
      <c r="D706" s="59"/>
      <c r="E706" s="4"/>
      <c r="F706" s="59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spans="1:30" ht="14.25" customHeight="1">
      <c r="A707" s="58"/>
      <c r="B707" s="4"/>
      <c r="C707" s="4"/>
      <c r="D707" s="59"/>
      <c r="E707" s="4"/>
      <c r="F707" s="59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 spans="1:30" ht="14.25" customHeight="1">
      <c r="A708" s="58"/>
      <c r="B708" s="4"/>
      <c r="C708" s="4"/>
      <c r="D708" s="59"/>
      <c r="E708" s="4"/>
      <c r="F708" s="59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 spans="1:30" ht="14.25" customHeight="1">
      <c r="A709" s="58"/>
      <c r="B709" s="4"/>
      <c r="C709" s="4"/>
      <c r="D709" s="59"/>
      <c r="E709" s="4"/>
      <c r="F709" s="59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 spans="1:30" ht="14.25" customHeight="1">
      <c r="A710" s="58"/>
      <c r="B710" s="4"/>
      <c r="C710" s="4"/>
      <c r="D710" s="59"/>
      <c r="E710" s="4"/>
      <c r="F710" s="59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 spans="1:30" ht="14.25" customHeight="1">
      <c r="A711" s="58"/>
      <c r="B711" s="4"/>
      <c r="C711" s="4"/>
      <c r="D711" s="59"/>
      <c r="E711" s="4"/>
      <c r="F711" s="59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 spans="1:30" ht="14.25" customHeight="1">
      <c r="A712" s="58"/>
      <c r="B712" s="4"/>
      <c r="C712" s="4"/>
      <c r="D712" s="59"/>
      <c r="E712" s="4"/>
      <c r="F712" s="59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 spans="1:30" ht="14.25" customHeight="1">
      <c r="A713" s="58"/>
      <c r="B713" s="4"/>
      <c r="C713" s="4"/>
      <c r="D713" s="59"/>
      <c r="E713" s="4"/>
      <c r="F713" s="59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 spans="1:30" ht="14.25" customHeight="1">
      <c r="A714" s="58"/>
      <c r="B714" s="4"/>
      <c r="C714" s="4"/>
      <c r="D714" s="59"/>
      <c r="E714" s="4"/>
      <c r="F714" s="59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 spans="1:30" ht="14.25" customHeight="1">
      <c r="A715" s="58"/>
      <c r="B715" s="4"/>
      <c r="C715" s="4"/>
      <c r="D715" s="59"/>
      <c r="E715" s="4"/>
      <c r="F715" s="59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 spans="1:30" ht="14.25" customHeight="1">
      <c r="A716" s="58"/>
      <c r="B716" s="4"/>
      <c r="C716" s="4"/>
      <c r="D716" s="59"/>
      <c r="E716" s="4"/>
      <c r="F716" s="59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 spans="1:30" ht="14.25" customHeight="1">
      <c r="A717" s="58"/>
      <c r="B717" s="4"/>
      <c r="C717" s="4"/>
      <c r="D717" s="59"/>
      <c r="E717" s="4"/>
      <c r="F717" s="59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 spans="1:30" ht="14.25" customHeight="1">
      <c r="A718" s="58"/>
      <c r="B718" s="4"/>
      <c r="C718" s="4"/>
      <c r="D718" s="59"/>
      <c r="E718" s="4"/>
      <c r="F718" s="59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spans="1:30" ht="14.25" customHeight="1">
      <c r="A719" s="58"/>
      <c r="B719" s="4"/>
      <c r="C719" s="4"/>
      <c r="D719" s="59"/>
      <c r="E719" s="4"/>
      <c r="F719" s="59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spans="1:30" ht="14.25" customHeight="1">
      <c r="A720" s="58"/>
      <c r="B720" s="4"/>
      <c r="C720" s="4"/>
      <c r="D720" s="59"/>
      <c r="E720" s="4"/>
      <c r="F720" s="59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spans="1:30" ht="14.25" customHeight="1">
      <c r="A721" s="58"/>
      <c r="B721" s="4"/>
      <c r="C721" s="4"/>
      <c r="D721" s="59"/>
      <c r="E721" s="4"/>
      <c r="F721" s="59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spans="1:30" ht="14.25" customHeight="1">
      <c r="A722" s="58"/>
      <c r="B722" s="4"/>
      <c r="C722" s="4"/>
      <c r="D722" s="59"/>
      <c r="E722" s="4"/>
      <c r="F722" s="59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spans="1:30" ht="14.25" customHeight="1">
      <c r="A723" s="58"/>
      <c r="B723" s="4"/>
      <c r="C723" s="4"/>
      <c r="D723" s="59"/>
      <c r="E723" s="4"/>
      <c r="F723" s="59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spans="1:30" ht="14.25" customHeight="1">
      <c r="A724" s="58"/>
      <c r="B724" s="4"/>
      <c r="C724" s="4"/>
      <c r="D724" s="59"/>
      <c r="E724" s="4"/>
      <c r="F724" s="59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spans="1:30" ht="14.25" customHeight="1">
      <c r="A725" s="58"/>
      <c r="B725" s="4"/>
      <c r="C725" s="4"/>
      <c r="D725" s="59"/>
      <c r="E725" s="4"/>
      <c r="F725" s="59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 spans="1:30" ht="14.25" customHeight="1">
      <c r="A726" s="58"/>
      <c r="B726" s="4"/>
      <c r="C726" s="4"/>
      <c r="D726" s="59"/>
      <c r="E726" s="4"/>
      <c r="F726" s="59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 spans="1:30" ht="14.25" customHeight="1">
      <c r="A727" s="58"/>
      <c r="B727" s="4"/>
      <c r="C727" s="4"/>
      <c r="D727" s="59"/>
      <c r="E727" s="4"/>
      <c r="F727" s="59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 spans="1:30" ht="14.25" customHeight="1">
      <c r="A728" s="58"/>
      <c r="B728" s="4"/>
      <c r="C728" s="4"/>
      <c r="D728" s="59"/>
      <c r="E728" s="4"/>
      <c r="F728" s="59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 spans="1:30" ht="14.25" customHeight="1">
      <c r="A729" s="58"/>
      <c r="B729" s="4"/>
      <c r="C729" s="4"/>
      <c r="D729" s="59"/>
      <c r="E729" s="4"/>
      <c r="F729" s="59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 spans="1:30" ht="14.25" customHeight="1">
      <c r="A730" s="58"/>
      <c r="B730" s="4"/>
      <c r="C730" s="4"/>
      <c r="D730" s="59"/>
      <c r="E730" s="4"/>
      <c r="F730" s="59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 spans="1:30" ht="14.25" customHeight="1">
      <c r="A731" s="58"/>
      <c r="B731" s="4"/>
      <c r="C731" s="4"/>
      <c r="D731" s="59"/>
      <c r="E731" s="4"/>
      <c r="F731" s="59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 spans="1:30" ht="14.25" customHeight="1">
      <c r="A732" s="58"/>
      <c r="B732" s="4"/>
      <c r="C732" s="4"/>
      <c r="D732" s="59"/>
      <c r="E732" s="4"/>
      <c r="F732" s="59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 spans="1:30" ht="14.25" customHeight="1">
      <c r="A733" s="58"/>
      <c r="B733" s="4"/>
      <c r="C733" s="4"/>
      <c r="D733" s="59"/>
      <c r="E733" s="4"/>
      <c r="F733" s="59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 spans="1:30" ht="14.25" customHeight="1">
      <c r="A734" s="58"/>
      <c r="B734" s="4"/>
      <c r="C734" s="4"/>
      <c r="D734" s="59"/>
      <c r="E734" s="4"/>
      <c r="F734" s="59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 spans="1:30" ht="14.25" customHeight="1">
      <c r="A735" s="58"/>
      <c r="B735" s="4"/>
      <c r="C735" s="4"/>
      <c r="D735" s="59"/>
      <c r="E735" s="4"/>
      <c r="F735" s="59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 spans="1:30" ht="14.25" customHeight="1">
      <c r="A736" s="58"/>
      <c r="B736" s="4"/>
      <c r="C736" s="4"/>
      <c r="D736" s="59"/>
      <c r="E736" s="4"/>
      <c r="F736" s="59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 spans="1:30" ht="14.25" customHeight="1">
      <c r="A737" s="58"/>
      <c r="B737" s="4"/>
      <c r="C737" s="4"/>
      <c r="D737" s="59"/>
      <c r="E737" s="4"/>
      <c r="F737" s="59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 spans="1:30" ht="14.25" customHeight="1">
      <c r="A738" s="58"/>
      <c r="B738" s="4"/>
      <c r="C738" s="4"/>
      <c r="D738" s="59"/>
      <c r="E738" s="4"/>
      <c r="F738" s="59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 spans="1:30" ht="14.25" customHeight="1">
      <c r="A739" s="58"/>
      <c r="B739" s="4"/>
      <c r="C739" s="4"/>
      <c r="D739" s="59"/>
      <c r="E739" s="4"/>
      <c r="F739" s="59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 spans="1:30" ht="14.25" customHeight="1">
      <c r="A740" s="58"/>
      <c r="B740" s="4"/>
      <c r="C740" s="4"/>
      <c r="D740" s="59"/>
      <c r="E740" s="4"/>
      <c r="F740" s="59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 spans="1:30" ht="14.25" customHeight="1">
      <c r="A741" s="58"/>
      <c r="B741" s="4"/>
      <c r="C741" s="4"/>
      <c r="D741" s="59"/>
      <c r="E741" s="4"/>
      <c r="F741" s="59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 spans="1:30" ht="14.25" customHeight="1">
      <c r="A742" s="58"/>
      <c r="B742" s="4"/>
      <c r="C742" s="4"/>
      <c r="D742" s="59"/>
      <c r="E742" s="4"/>
      <c r="F742" s="59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 spans="1:30" ht="14.25" customHeight="1">
      <c r="A743" s="58"/>
      <c r="B743" s="4"/>
      <c r="C743" s="4"/>
      <c r="D743" s="59"/>
      <c r="E743" s="4"/>
      <c r="F743" s="59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 spans="1:30" ht="14.25" customHeight="1">
      <c r="A744" s="58"/>
      <c r="B744" s="4"/>
      <c r="C744" s="4"/>
      <c r="D744" s="59"/>
      <c r="E744" s="4"/>
      <c r="F744" s="59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 spans="1:30" ht="14.25" customHeight="1">
      <c r="A745" s="58"/>
      <c r="B745" s="4"/>
      <c r="C745" s="4"/>
      <c r="D745" s="59"/>
      <c r="E745" s="4"/>
      <c r="F745" s="59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 spans="1:30" ht="14.25" customHeight="1">
      <c r="A746" s="58"/>
      <c r="B746" s="4"/>
      <c r="C746" s="4"/>
      <c r="D746" s="59"/>
      <c r="E746" s="4"/>
      <c r="F746" s="59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 spans="1:30" ht="14.25" customHeight="1">
      <c r="A747" s="58"/>
      <c r="B747" s="4"/>
      <c r="C747" s="4"/>
      <c r="D747" s="59"/>
      <c r="E747" s="4"/>
      <c r="F747" s="59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 spans="1:30" ht="14.25" customHeight="1">
      <c r="A748" s="58"/>
      <c r="B748" s="4"/>
      <c r="C748" s="4"/>
      <c r="D748" s="59"/>
      <c r="E748" s="4"/>
      <c r="F748" s="59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 spans="1:30" ht="14.25" customHeight="1">
      <c r="A749" s="58"/>
      <c r="B749" s="4"/>
      <c r="C749" s="4"/>
      <c r="D749" s="59"/>
      <c r="E749" s="4"/>
      <c r="F749" s="59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 spans="1:30" ht="14.25" customHeight="1">
      <c r="A750" s="58"/>
      <c r="B750" s="4"/>
      <c r="C750" s="4"/>
      <c r="D750" s="59"/>
      <c r="E750" s="4"/>
      <c r="F750" s="59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 spans="1:30" ht="14.25" customHeight="1">
      <c r="A751" s="58"/>
      <c r="B751" s="4"/>
      <c r="C751" s="4"/>
      <c r="D751" s="59"/>
      <c r="E751" s="4"/>
      <c r="F751" s="59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 spans="1:30" ht="14.25" customHeight="1">
      <c r="A752" s="58"/>
      <c r="B752" s="4"/>
      <c r="C752" s="4"/>
      <c r="D752" s="59"/>
      <c r="E752" s="4"/>
      <c r="F752" s="59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 spans="1:30" ht="14.25" customHeight="1">
      <c r="A753" s="58"/>
      <c r="B753" s="4"/>
      <c r="C753" s="4"/>
      <c r="D753" s="59"/>
      <c r="E753" s="4"/>
      <c r="F753" s="59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 spans="1:30" ht="14.25" customHeight="1">
      <c r="A754" s="58"/>
      <c r="B754" s="4"/>
      <c r="C754" s="4"/>
      <c r="D754" s="59"/>
      <c r="E754" s="4"/>
      <c r="F754" s="59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 spans="1:30" ht="14.25" customHeight="1">
      <c r="A755" s="58"/>
      <c r="B755" s="4"/>
      <c r="C755" s="4"/>
      <c r="D755" s="59"/>
      <c r="E755" s="4"/>
      <c r="F755" s="59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 spans="1:30" ht="14.25" customHeight="1">
      <c r="A756" s="58"/>
      <c r="B756" s="4"/>
      <c r="C756" s="4"/>
      <c r="D756" s="59"/>
      <c r="E756" s="4"/>
      <c r="F756" s="59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 spans="1:30" ht="14.25" customHeight="1">
      <c r="A757" s="58"/>
      <c r="B757" s="4"/>
      <c r="C757" s="4"/>
      <c r="D757" s="59"/>
      <c r="E757" s="4"/>
      <c r="F757" s="59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 spans="1:30" ht="14.25" customHeight="1">
      <c r="A758" s="58"/>
      <c r="B758" s="4"/>
      <c r="C758" s="4"/>
      <c r="D758" s="59"/>
      <c r="E758" s="4"/>
      <c r="F758" s="59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 spans="1:30" ht="14.25" customHeight="1">
      <c r="A759" s="58"/>
      <c r="B759" s="4"/>
      <c r="C759" s="4"/>
      <c r="D759" s="59"/>
      <c r="E759" s="4"/>
      <c r="F759" s="59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 spans="1:30" ht="14.25" customHeight="1">
      <c r="A760" s="58"/>
      <c r="B760" s="4"/>
      <c r="C760" s="4"/>
      <c r="D760" s="59"/>
      <c r="E760" s="4"/>
      <c r="F760" s="59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 spans="1:30" ht="14.25" customHeight="1">
      <c r="A761" s="58"/>
      <c r="B761" s="4"/>
      <c r="C761" s="4"/>
      <c r="D761" s="59"/>
      <c r="E761" s="4"/>
      <c r="F761" s="59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 spans="1:30" ht="14.25" customHeight="1">
      <c r="A762" s="58"/>
      <c r="B762" s="4"/>
      <c r="C762" s="4"/>
      <c r="D762" s="59"/>
      <c r="E762" s="4"/>
      <c r="F762" s="59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 spans="1:30" ht="14.25" customHeight="1">
      <c r="A763" s="58"/>
      <c r="B763" s="4"/>
      <c r="C763" s="4"/>
      <c r="D763" s="59"/>
      <c r="E763" s="4"/>
      <c r="F763" s="59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 spans="1:30" ht="14.25" customHeight="1">
      <c r="A764" s="58"/>
      <c r="B764" s="4"/>
      <c r="C764" s="4"/>
      <c r="D764" s="59"/>
      <c r="E764" s="4"/>
      <c r="F764" s="59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 spans="1:30" ht="14.25" customHeight="1">
      <c r="A765" s="58"/>
      <c r="B765" s="4"/>
      <c r="C765" s="4"/>
      <c r="D765" s="59"/>
      <c r="E765" s="4"/>
      <c r="F765" s="59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 spans="1:30" ht="14.25" customHeight="1">
      <c r="A766" s="58"/>
      <c r="B766" s="4"/>
      <c r="C766" s="4"/>
      <c r="D766" s="59"/>
      <c r="E766" s="4"/>
      <c r="F766" s="59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 spans="1:30" ht="14.25" customHeight="1">
      <c r="A767" s="58"/>
      <c r="B767" s="4"/>
      <c r="C767" s="4"/>
      <c r="D767" s="59"/>
      <c r="E767" s="4"/>
      <c r="F767" s="59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 spans="1:30" ht="14.25" customHeight="1">
      <c r="A768" s="58"/>
      <c r="B768" s="4"/>
      <c r="C768" s="4"/>
      <c r="D768" s="59"/>
      <c r="E768" s="4"/>
      <c r="F768" s="59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 spans="1:30" ht="14.25" customHeight="1">
      <c r="A769" s="58"/>
      <c r="B769" s="4"/>
      <c r="C769" s="4"/>
      <c r="D769" s="59"/>
      <c r="E769" s="4"/>
      <c r="F769" s="59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 spans="1:30" ht="14.25" customHeight="1">
      <c r="A770" s="58"/>
      <c r="B770" s="4"/>
      <c r="C770" s="4"/>
      <c r="D770" s="59"/>
      <c r="E770" s="4"/>
      <c r="F770" s="59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 spans="1:30" ht="14.25" customHeight="1">
      <c r="A771" s="58"/>
      <c r="B771" s="4"/>
      <c r="C771" s="4"/>
      <c r="D771" s="59"/>
      <c r="E771" s="4"/>
      <c r="F771" s="59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 spans="1:30" ht="14.25" customHeight="1">
      <c r="A772" s="58"/>
      <c r="B772" s="4"/>
      <c r="C772" s="4"/>
      <c r="D772" s="59"/>
      <c r="E772" s="4"/>
      <c r="F772" s="59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 spans="1:30" ht="14.25" customHeight="1">
      <c r="A773" s="58"/>
      <c r="B773" s="4"/>
      <c r="C773" s="4"/>
      <c r="D773" s="59"/>
      <c r="E773" s="4"/>
      <c r="F773" s="59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 spans="1:30" ht="14.25" customHeight="1">
      <c r="A774" s="58"/>
      <c r="B774" s="4"/>
      <c r="C774" s="4"/>
      <c r="D774" s="59"/>
      <c r="E774" s="4"/>
      <c r="F774" s="59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 spans="1:30" ht="14.25" customHeight="1">
      <c r="A775" s="58"/>
      <c r="B775" s="4"/>
      <c r="C775" s="4"/>
      <c r="D775" s="59"/>
      <c r="E775" s="4"/>
      <c r="F775" s="59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 spans="1:30" ht="14.25" customHeight="1">
      <c r="A776" s="58"/>
      <c r="B776" s="4"/>
      <c r="C776" s="4"/>
      <c r="D776" s="59"/>
      <c r="E776" s="4"/>
      <c r="F776" s="59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 spans="1:30" ht="14.25" customHeight="1">
      <c r="A777" s="58"/>
      <c r="B777" s="4"/>
      <c r="C777" s="4"/>
      <c r="D777" s="59"/>
      <c r="E777" s="4"/>
      <c r="F777" s="59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 spans="1:30" ht="14.25" customHeight="1">
      <c r="A778" s="58"/>
      <c r="B778" s="4"/>
      <c r="C778" s="4"/>
      <c r="D778" s="59"/>
      <c r="E778" s="4"/>
      <c r="F778" s="59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 spans="1:30" ht="14.25" customHeight="1">
      <c r="A779" s="58"/>
      <c r="B779" s="4"/>
      <c r="C779" s="4"/>
      <c r="D779" s="59"/>
      <c r="E779" s="4"/>
      <c r="F779" s="59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 spans="1:30" ht="14.25" customHeight="1">
      <c r="A780" s="58"/>
      <c r="B780" s="4"/>
      <c r="C780" s="4"/>
      <c r="D780" s="59"/>
      <c r="E780" s="4"/>
      <c r="F780" s="59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 spans="1:30" ht="14.25" customHeight="1">
      <c r="A781" s="58"/>
      <c r="B781" s="4"/>
      <c r="C781" s="4"/>
      <c r="D781" s="59"/>
      <c r="E781" s="4"/>
      <c r="F781" s="59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 spans="1:30" ht="14.25" customHeight="1">
      <c r="A782" s="58"/>
      <c r="B782" s="4"/>
      <c r="C782" s="4"/>
      <c r="D782" s="59"/>
      <c r="E782" s="4"/>
      <c r="F782" s="59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 spans="1:30" ht="14.25" customHeight="1">
      <c r="A783" s="58"/>
      <c r="B783" s="4"/>
      <c r="C783" s="4"/>
      <c r="D783" s="59"/>
      <c r="E783" s="4"/>
      <c r="F783" s="59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 spans="1:30" ht="14.25" customHeight="1">
      <c r="A784" s="58"/>
      <c r="B784" s="4"/>
      <c r="C784" s="4"/>
      <c r="D784" s="59"/>
      <c r="E784" s="4"/>
      <c r="F784" s="59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 spans="1:30" ht="14.25" customHeight="1">
      <c r="A785" s="58"/>
      <c r="B785" s="4"/>
      <c r="C785" s="4"/>
      <c r="D785" s="59"/>
      <c r="E785" s="4"/>
      <c r="F785" s="59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 spans="1:30" ht="14.25" customHeight="1">
      <c r="A786" s="58"/>
      <c r="B786" s="4"/>
      <c r="C786" s="4"/>
      <c r="D786" s="59"/>
      <c r="E786" s="4"/>
      <c r="F786" s="59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 spans="1:30" ht="14.25" customHeight="1">
      <c r="A787" s="58"/>
      <c r="B787" s="4"/>
      <c r="C787" s="4"/>
      <c r="D787" s="59"/>
      <c r="E787" s="4"/>
      <c r="F787" s="59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 spans="1:30" ht="14.25" customHeight="1">
      <c r="A788" s="58"/>
      <c r="B788" s="4"/>
      <c r="C788" s="4"/>
      <c r="D788" s="59"/>
      <c r="E788" s="4"/>
      <c r="F788" s="59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 spans="1:30" ht="14.25" customHeight="1">
      <c r="A789" s="58"/>
      <c r="B789" s="4"/>
      <c r="C789" s="4"/>
      <c r="D789" s="59"/>
      <c r="E789" s="4"/>
      <c r="F789" s="59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 spans="1:30" ht="14.25" customHeight="1">
      <c r="A790" s="58"/>
      <c r="B790" s="4"/>
      <c r="C790" s="4"/>
      <c r="D790" s="59"/>
      <c r="E790" s="4"/>
      <c r="F790" s="59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 spans="1:30" ht="14.25" customHeight="1">
      <c r="A791" s="58"/>
      <c r="B791" s="4"/>
      <c r="C791" s="4"/>
      <c r="D791" s="59"/>
      <c r="E791" s="4"/>
      <c r="F791" s="59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 spans="1:30" ht="14.25" customHeight="1">
      <c r="A792" s="58"/>
      <c r="B792" s="4"/>
      <c r="C792" s="4"/>
      <c r="D792" s="59"/>
      <c r="E792" s="4"/>
      <c r="F792" s="59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 spans="1:30" ht="14.25" customHeight="1">
      <c r="A793" s="58"/>
      <c r="B793" s="4"/>
      <c r="C793" s="4"/>
      <c r="D793" s="59"/>
      <c r="E793" s="4"/>
      <c r="F793" s="59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 spans="1:30" ht="14.25" customHeight="1">
      <c r="A794" s="58"/>
      <c r="B794" s="4"/>
      <c r="C794" s="4"/>
      <c r="D794" s="59"/>
      <c r="E794" s="4"/>
      <c r="F794" s="59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 spans="1:30" ht="14.25" customHeight="1">
      <c r="A795" s="58"/>
      <c r="B795" s="4"/>
      <c r="C795" s="4"/>
      <c r="D795" s="59"/>
      <c r="E795" s="4"/>
      <c r="F795" s="59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 spans="1:30" ht="14.25" customHeight="1">
      <c r="A796" s="58"/>
      <c r="B796" s="4"/>
      <c r="C796" s="4"/>
      <c r="D796" s="59"/>
      <c r="E796" s="4"/>
      <c r="F796" s="59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</sheetData>
  <mergeCells count="15">
    <mergeCell ref="G1:J1"/>
    <mergeCell ref="B3:B8"/>
    <mergeCell ref="B9:B16"/>
    <mergeCell ref="B17:B19"/>
    <mergeCell ref="A21:F21"/>
    <mergeCell ref="A1:A2"/>
    <mergeCell ref="B1:B2"/>
    <mergeCell ref="C1:C2"/>
    <mergeCell ref="D1:D2"/>
    <mergeCell ref="F1:F2"/>
    <mergeCell ref="P1:R1"/>
    <mergeCell ref="U3:W3"/>
    <mergeCell ref="U10:W10"/>
    <mergeCell ref="P12:R12"/>
    <mergeCell ref="P14:R14"/>
  </mergeCells>
  <dataValidations count="1">
    <dataValidation type="list" allowBlank="1" showErrorMessage="1" sqref="Q3:Q9 H3:H19" xr:uid="{00000000-0002-0000-0000-000000000000}">
      <formula1>"Simple,Average,Complex"</formula1>
    </dataValidation>
  </dataValidations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/>
  </sheetViews>
  <sheetFormatPr defaultColWidth="14.42578125" defaultRowHeight="15" customHeight="1"/>
  <cols>
    <col min="1" max="1" width="55.140625" customWidth="1"/>
    <col min="2" max="2" width="7.42578125" customWidth="1"/>
    <col min="3" max="3" width="13.7109375" customWidth="1"/>
    <col min="4" max="4" width="9" customWidth="1"/>
    <col min="5" max="5" width="68.42578125" customWidth="1"/>
    <col min="6" max="6" width="14.42578125" customWidth="1"/>
  </cols>
  <sheetData>
    <row r="1" spans="1:25" ht="15" customHeight="1">
      <c r="A1" s="64" t="s">
        <v>61</v>
      </c>
      <c r="B1" s="65" t="s">
        <v>25</v>
      </c>
      <c r="C1" s="66" t="s">
        <v>62</v>
      </c>
      <c r="D1" s="65" t="s">
        <v>63</v>
      </c>
      <c r="E1" s="66" t="s">
        <v>64</v>
      </c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</row>
    <row r="2" spans="1:25" ht="15" customHeight="1">
      <c r="A2" s="68" t="s">
        <v>65</v>
      </c>
      <c r="B2" s="69">
        <v>2</v>
      </c>
      <c r="C2" s="70">
        <v>0</v>
      </c>
      <c r="D2" s="71">
        <f t="shared" ref="D2:D14" si="0">B2*C2</f>
        <v>0</v>
      </c>
      <c r="E2" s="72" t="s">
        <v>66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</row>
    <row r="3" spans="1:25" ht="15" customHeight="1">
      <c r="A3" s="68" t="s">
        <v>67</v>
      </c>
      <c r="B3" s="69">
        <v>1</v>
      </c>
      <c r="C3" s="70">
        <v>3</v>
      </c>
      <c r="D3" s="71">
        <f t="shared" si="0"/>
        <v>3</v>
      </c>
      <c r="E3" s="73" t="s">
        <v>68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</row>
    <row r="4" spans="1:25" ht="15" customHeight="1">
      <c r="A4" s="68" t="s">
        <v>69</v>
      </c>
      <c r="B4" s="69">
        <v>1</v>
      </c>
      <c r="C4" s="70">
        <v>2</v>
      </c>
      <c r="D4" s="71">
        <f t="shared" si="0"/>
        <v>2</v>
      </c>
      <c r="E4" s="72" t="s">
        <v>70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</row>
    <row r="5" spans="1:25" ht="15" customHeight="1">
      <c r="A5" s="68" t="s">
        <v>71</v>
      </c>
      <c r="B5" s="69">
        <v>1</v>
      </c>
      <c r="C5" s="70">
        <v>3</v>
      </c>
      <c r="D5" s="71">
        <f t="shared" si="0"/>
        <v>3</v>
      </c>
      <c r="E5" s="72" t="s">
        <v>19</v>
      </c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</row>
    <row r="6" spans="1:25" ht="15" customHeight="1">
      <c r="A6" s="68" t="s">
        <v>72</v>
      </c>
      <c r="B6" s="69">
        <v>1</v>
      </c>
      <c r="C6" s="70">
        <v>2</v>
      </c>
      <c r="D6" s="71">
        <f t="shared" si="0"/>
        <v>2</v>
      </c>
      <c r="E6" s="72" t="s">
        <v>73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</row>
    <row r="7" spans="1:25" ht="15" customHeight="1">
      <c r="A7" s="68" t="s">
        <v>74</v>
      </c>
      <c r="B7" s="69">
        <v>0.5</v>
      </c>
      <c r="C7" s="70">
        <v>3</v>
      </c>
      <c r="D7" s="71">
        <f t="shared" si="0"/>
        <v>1.5</v>
      </c>
      <c r="E7" s="72" t="s">
        <v>75</v>
      </c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</row>
    <row r="8" spans="1:25" ht="15" customHeight="1">
      <c r="A8" s="68" t="s">
        <v>76</v>
      </c>
      <c r="B8" s="69">
        <v>0.5</v>
      </c>
      <c r="C8" s="70">
        <v>4</v>
      </c>
      <c r="D8" s="71">
        <f t="shared" si="0"/>
        <v>2</v>
      </c>
      <c r="E8" s="72" t="s">
        <v>77</v>
      </c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</row>
    <row r="9" spans="1:25" ht="15" customHeight="1">
      <c r="A9" s="68" t="s">
        <v>78</v>
      </c>
      <c r="B9" s="69">
        <v>2</v>
      </c>
      <c r="C9" s="70">
        <v>2</v>
      </c>
      <c r="D9" s="71">
        <f t="shared" si="0"/>
        <v>4</v>
      </c>
      <c r="E9" s="72" t="s">
        <v>79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</row>
    <row r="10" spans="1:25" ht="15" customHeight="1">
      <c r="A10" s="68" t="s">
        <v>80</v>
      </c>
      <c r="B10" s="69">
        <v>1</v>
      </c>
      <c r="C10" s="70">
        <v>2</v>
      </c>
      <c r="D10" s="71">
        <f t="shared" si="0"/>
        <v>2</v>
      </c>
      <c r="E10" s="72" t="s">
        <v>81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</row>
    <row r="11" spans="1:25" ht="15" customHeight="1">
      <c r="A11" s="68" t="s">
        <v>82</v>
      </c>
      <c r="B11" s="69">
        <v>1</v>
      </c>
      <c r="C11" s="70">
        <v>3</v>
      </c>
      <c r="D11" s="71">
        <f t="shared" si="0"/>
        <v>3</v>
      </c>
      <c r="E11" s="72" t="s">
        <v>83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</row>
    <row r="12" spans="1:25" ht="15" customHeight="1">
      <c r="A12" s="68" t="s">
        <v>84</v>
      </c>
      <c r="B12" s="69">
        <v>1</v>
      </c>
      <c r="C12" s="70">
        <v>2</v>
      </c>
      <c r="D12" s="71">
        <f t="shared" si="0"/>
        <v>2</v>
      </c>
      <c r="E12" s="72" t="s">
        <v>85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</row>
    <row r="13" spans="1:25" ht="15" customHeight="1">
      <c r="A13" s="68" t="s">
        <v>86</v>
      </c>
      <c r="B13" s="69">
        <v>1</v>
      </c>
      <c r="C13" s="70">
        <v>1</v>
      </c>
      <c r="D13" s="71">
        <f t="shared" si="0"/>
        <v>1</v>
      </c>
      <c r="E13" s="72" t="s">
        <v>87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</row>
    <row r="14" spans="1:25" ht="15" customHeight="1">
      <c r="A14" s="68" t="s">
        <v>88</v>
      </c>
      <c r="B14" s="69">
        <v>1</v>
      </c>
      <c r="C14" s="70">
        <v>1</v>
      </c>
      <c r="D14" s="71">
        <f t="shared" si="0"/>
        <v>1</v>
      </c>
      <c r="E14" s="72" t="s">
        <v>89</v>
      </c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</row>
    <row r="15" spans="1:25" ht="15" customHeight="1">
      <c r="A15" s="68" t="s">
        <v>90</v>
      </c>
      <c r="B15" s="74"/>
      <c r="C15" s="73"/>
      <c r="D15" s="71">
        <f>SUM(D2:D14)</f>
        <v>26.5</v>
      </c>
      <c r="E15" s="72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</row>
    <row r="16" spans="1:25" ht="15" customHeight="1">
      <c r="A16" s="68" t="s">
        <v>91</v>
      </c>
      <c r="B16" s="74"/>
      <c r="C16" s="73"/>
      <c r="D16" s="69">
        <v>0.6</v>
      </c>
      <c r="E16" s="72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</row>
    <row r="17" spans="1:25" ht="15" customHeight="1">
      <c r="A17" s="68" t="s">
        <v>92</v>
      </c>
      <c r="B17" s="74"/>
      <c r="C17" s="73"/>
      <c r="D17" s="69">
        <v>0.01</v>
      </c>
      <c r="E17" s="72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</row>
    <row r="18" spans="1:25" ht="15" customHeight="1">
      <c r="A18" s="68" t="s">
        <v>93</v>
      </c>
      <c r="B18" s="74"/>
      <c r="C18" s="73"/>
      <c r="D18" s="71">
        <f>D16+(D17*D15)</f>
        <v>0.86499999999999999</v>
      </c>
      <c r="E18" s="75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</row>
    <row r="19" spans="1:25" ht="15" customHeight="1">
      <c r="A19" s="76"/>
      <c r="B19" s="77"/>
      <c r="C19" s="76"/>
      <c r="D19" s="77"/>
      <c r="E19" s="76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</row>
    <row r="20" spans="1:25" ht="15" customHeight="1">
      <c r="A20" s="64" t="s">
        <v>94</v>
      </c>
      <c r="B20" s="65" t="s">
        <v>25</v>
      </c>
      <c r="C20" s="66" t="s">
        <v>95</v>
      </c>
      <c r="D20" s="65" t="s">
        <v>63</v>
      </c>
      <c r="E20" s="78" t="s">
        <v>64</v>
      </c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</row>
    <row r="21" spans="1:25" ht="15" customHeight="1">
      <c r="A21" s="68" t="s">
        <v>96</v>
      </c>
      <c r="B21" s="69">
        <v>1.5</v>
      </c>
      <c r="C21" s="70">
        <v>4</v>
      </c>
      <c r="D21" s="71">
        <f t="shared" ref="D21:D28" si="1">B21*C21</f>
        <v>6</v>
      </c>
      <c r="E21" s="72" t="s">
        <v>97</v>
      </c>
      <c r="F21" s="79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</row>
    <row r="22" spans="1:25" ht="15" customHeight="1">
      <c r="A22" s="68" t="s">
        <v>98</v>
      </c>
      <c r="B22" s="69">
        <v>-1</v>
      </c>
      <c r="C22" s="70">
        <v>0</v>
      </c>
      <c r="D22" s="71">
        <f t="shared" si="1"/>
        <v>0</v>
      </c>
      <c r="E22" s="72" t="s">
        <v>99</v>
      </c>
      <c r="F22" s="79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</row>
    <row r="23" spans="1:25" ht="15" customHeight="1">
      <c r="A23" s="68" t="s">
        <v>100</v>
      </c>
      <c r="B23" s="69">
        <v>0.5</v>
      </c>
      <c r="C23" s="70">
        <v>4</v>
      </c>
      <c r="D23" s="71">
        <f t="shared" si="1"/>
        <v>2</v>
      </c>
      <c r="E23" s="72" t="s">
        <v>101</v>
      </c>
      <c r="F23" s="79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</row>
    <row r="24" spans="1:25" ht="15" customHeight="1">
      <c r="A24" s="68" t="s">
        <v>102</v>
      </c>
      <c r="B24" s="69">
        <v>0.5</v>
      </c>
      <c r="C24" s="70">
        <v>4</v>
      </c>
      <c r="D24" s="71">
        <f t="shared" si="1"/>
        <v>2</v>
      </c>
      <c r="E24" s="72" t="s">
        <v>103</v>
      </c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</row>
    <row r="25" spans="1:25" ht="15" customHeight="1">
      <c r="A25" s="68" t="s">
        <v>104</v>
      </c>
      <c r="B25" s="69">
        <v>1</v>
      </c>
      <c r="C25" s="70">
        <v>4</v>
      </c>
      <c r="D25" s="71">
        <f t="shared" si="1"/>
        <v>4</v>
      </c>
      <c r="E25" s="72" t="s">
        <v>105</v>
      </c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</row>
    <row r="26" spans="1:25" ht="15" customHeight="1">
      <c r="A26" s="68" t="s">
        <v>106</v>
      </c>
      <c r="B26" s="69">
        <v>1</v>
      </c>
      <c r="C26" s="70">
        <v>4</v>
      </c>
      <c r="D26" s="71">
        <f t="shared" si="1"/>
        <v>4</v>
      </c>
      <c r="E26" s="72" t="s">
        <v>107</v>
      </c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</row>
    <row r="27" spans="1:25" ht="15" customHeight="1">
      <c r="A27" s="68" t="s">
        <v>108</v>
      </c>
      <c r="B27" s="69">
        <v>-1</v>
      </c>
      <c r="C27" s="70">
        <v>3</v>
      </c>
      <c r="D27" s="71">
        <f t="shared" si="1"/>
        <v>-3</v>
      </c>
      <c r="E27" s="72" t="s">
        <v>109</v>
      </c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</row>
    <row r="28" spans="1:25" ht="15" customHeight="1">
      <c r="A28" s="68" t="s">
        <v>110</v>
      </c>
      <c r="B28" s="69">
        <v>2</v>
      </c>
      <c r="C28" s="70">
        <v>3</v>
      </c>
      <c r="D28" s="71">
        <f t="shared" si="1"/>
        <v>6</v>
      </c>
      <c r="E28" s="72" t="s">
        <v>111</v>
      </c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</row>
    <row r="29" spans="1:25" ht="15" customHeight="1">
      <c r="A29" s="68" t="s">
        <v>112</v>
      </c>
      <c r="B29" s="74"/>
      <c r="C29" s="73"/>
      <c r="D29" s="71">
        <f>SUM(D21:D28)</f>
        <v>21</v>
      </c>
      <c r="E29" s="72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</row>
    <row r="30" spans="1:25" ht="15" customHeight="1">
      <c r="A30" s="68" t="s">
        <v>113</v>
      </c>
      <c r="B30" s="74"/>
      <c r="C30" s="73"/>
      <c r="D30" s="71">
        <f>1.4+(-0.03 *D29)</f>
        <v>0.76999999999999991</v>
      </c>
      <c r="E30" s="72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</row>
    <row r="31" spans="1:25" ht="15" customHeight="1">
      <c r="A31" s="80" t="s">
        <v>114</v>
      </c>
      <c r="B31" s="81"/>
      <c r="C31" s="82"/>
      <c r="D31" s="83">
        <v>12</v>
      </c>
      <c r="E31" s="72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</row>
    <row r="32" spans="1:25" ht="15" customHeight="1">
      <c r="A32" s="67"/>
      <c r="B32" s="79"/>
      <c r="C32" s="67"/>
      <c r="D32" s="79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</row>
    <row r="33" spans="1:25" ht="15" customHeight="1">
      <c r="A33" s="67"/>
      <c r="B33" s="79"/>
      <c r="C33" s="67"/>
      <c r="D33" s="79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</row>
    <row r="34" spans="1:25" ht="15" customHeight="1">
      <c r="C34" s="67"/>
      <c r="D34" s="79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</row>
    <row r="35" spans="1:25" ht="15" customHeight="1">
      <c r="C35" s="67"/>
      <c r="D35" s="79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</row>
    <row r="36" spans="1:25" ht="15" customHeight="1">
      <c r="A36" s="67"/>
      <c r="B36" s="79"/>
      <c r="C36" s="67"/>
      <c r="D36" s="79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</row>
    <row r="37" spans="1:25" ht="15" customHeight="1">
      <c r="A37" s="67"/>
      <c r="B37" s="79"/>
      <c r="C37" s="67"/>
      <c r="D37" s="79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</row>
    <row r="38" spans="1:25" ht="15" customHeight="1">
      <c r="A38" s="67"/>
      <c r="B38" s="79"/>
      <c r="C38" s="67"/>
      <c r="D38" s="79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 spans="1:25" ht="15" customHeight="1">
      <c r="A39" s="67"/>
      <c r="B39" s="79"/>
      <c r="C39" s="67"/>
      <c r="D39" s="79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</row>
    <row r="40" spans="1:25" ht="15" customHeight="1">
      <c r="A40" s="67"/>
      <c r="B40" s="79"/>
      <c r="C40" s="67"/>
      <c r="D40" s="79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</row>
    <row r="41" spans="1:25" ht="15" customHeight="1">
      <c r="A41" s="67"/>
      <c r="B41" s="79"/>
      <c r="C41" s="67"/>
      <c r="D41" s="79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</row>
    <row r="42" spans="1:25" ht="15" customHeight="1">
      <c r="A42" s="67"/>
      <c r="B42" s="79"/>
      <c r="C42" s="67"/>
      <c r="D42" s="79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</row>
    <row r="43" spans="1:25" ht="15" customHeight="1">
      <c r="A43" s="67"/>
      <c r="B43" s="79"/>
      <c r="C43" s="67"/>
      <c r="D43" s="79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</row>
    <row r="44" spans="1:25" ht="15" customHeight="1">
      <c r="A44" s="67"/>
      <c r="B44" s="79"/>
      <c r="C44" s="67"/>
      <c r="D44" s="79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</row>
    <row r="45" spans="1:25" ht="15" customHeight="1">
      <c r="A45" s="67"/>
      <c r="B45" s="79"/>
      <c r="C45" s="67"/>
      <c r="D45" s="79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</row>
    <row r="46" spans="1:25" ht="15" customHeight="1">
      <c r="A46" s="67"/>
      <c r="B46" s="79"/>
      <c r="C46" s="67"/>
      <c r="D46" s="79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</row>
    <row r="47" spans="1:25" ht="15.75" customHeight="1">
      <c r="A47" s="67"/>
      <c r="B47" s="79"/>
      <c r="C47" s="67"/>
      <c r="D47" s="79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</row>
    <row r="48" spans="1:25" ht="15.75" customHeight="1">
      <c r="A48" s="67"/>
      <c r="B48" s="79"/>
      <c r="C48" s="67"/>
      <c r="D48" s="79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</row>
    <row r="49" spans="1:25" ht="15.75" customHeight="1">
      <c r="A49" s="67"/>
      <c r="B49" s="79"/>
      <c r="C49" s="67"/>
      <c r="D49" s="79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</row>
    <row r="50" spans="1:25" ht="15.75" customHeight="1">
      <c r="A50" s="67"/>
      <c r="B50" s="79"/>
      <c r="C50" s="67"/>
      <c r="D50" s="79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</row>
    <row r="51" spans="1:25" ht="15.75" customHeight="1">
      <c r="A51" s="67"/>
      <c r="B51" s="79"/>
      <c r="C51" s="67"/>
      <c r="D51" s="79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</row>
    <row r="52" spans="1:25" ht="15.75" customHeight="1">
      <c r="A52" s="67"/>
      <c r="B52" s="79"/>
      <c r="C52" s="67"/>
      <c r="D52" s="79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</row>
    <row r="53" spans="1:25" ht="15.75" customHeight="1">
      <c r="A53" s="67"/>
      <c r="B53" s="79"/>
      <c r="C53" s="67"/>
      <c r="D53" s="79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</row>
    <row r="54" spans="1:25" ht="15.75" customHeight="1">
      <c r="A54" s="67"/>
      <c r="B54" s="79"/>
      <c r="C54" s="67"/>
      <c r="D54" s="79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</row>
    <row r="55" spans="1:25" ht="15.75" customHeight="1">
      <c r="A55" s="67"/>
      <c r="B55" s="79"/>
      <c r="C55" s="67"/>
      <c r="D55" s="79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</row>
    <row r="56" spans="1:25" ht="15.75" customHeight="1">
      <c r="A56" s="67"/>
      <c r="B56" s="79"/>
      <c r="C56" s="67"/>
      <c r="D56" s="79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</row>
    <row r="57" spans="1:25" ht="15.75" customHeight="1">
      <c r="A57" s="67"/>
      <c r="B57" s="79"/>
      <c r="C57" s="67"/>
      <c r="D57" s="79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</row>
    <row r="58" spans="1:25" ht="15.75" customHeight="1">
      <c r="A58" s="67"/>
      <c r="B58" s="79"/>
      <c r="C58" s="67"/>
      <c r="D58" s="79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</row>
    <row r="59" spans="1:25" ht="15.75" customHeight="1">
      <c r="A59" s="67"/>
      <c r="B59" s="79"/>
      <c r="C59" s="67"/>
      <c r="D59" s="79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</row>
    <row r="60" spans="1:25" ht="15.75" customHeight="1">
      <c r="A60" s="67"/>
      <c r="B60" s="79"/>
      <c r="C60" s="67"/>
      <c r="D60" s="79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</row>
    <row r="61" spans="1:25" ht="15.75" customHeight="1">
      <c r="A61" s="67"/>
      <c r="B61" s="79"/>
      <c r="C61" s="67"/>
      <c r="D61" s="79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</row>
    <row r="62" spans="1:25" ht="15.75" customHeight="1">
      <c r="A62" s="67"/>
      <c r="B62" s="79"/>
      <c r="C62" s="67"/>
      <c r="D62" s="79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</row>
    <row r="63" spans="1:25" ht="15.75" customHeight="1">
      <c r="A63" s="67"/>
      <c r="B63" s="79"/>
      <c r="C63" s="67"/>
      <c r="D63" s="79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</row>
    <row r="64" spans="1:25" ht="15.75" customHeight="1">
      <c r="A64" s="67"/>
      <c r="B64" s="79"/>
      <c r="C64" s="67"/>
      <c r="D64" s="79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</row>
    <row r="65" spans="1:25" ht="15.75" customHeight="1">
      <c r="A65" s="67"/>
      <c r="B65" s="79"/>
      <c r="C65" s="67"/>
      <c r="D65" s="79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</row>
    <row r="66" spans="1:25" ht="15.75" customHeight="1">
      <c r="A66" s="67"/>
      <c r="B66" s="79"/>
      <c r="C66" s="67"/>
      <c r="D66" s="79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</row>
    <row r="67" spans="1:25" ht="15.75" customHeight="1">
      <c r="A67" s="67"/>
      <c r="B67" s="79"/>
      <c r="C67" s="67"/>
      <c r="D67" s="79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</row>
    <row r="68" spans="1:25" ht="15.75" customHeight="1">
      <c r="A68" s="67"/>
      <c r="B68" s="79"/>
      <c r="C68" s="67"/>
      <c r="D68" s="79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</row>
    <row r="69" spans="1:25" ht="15.75" customHeight="1">
      <c r="A69" s="67"/>
      <c r="B69" s="79"/>
      <c r="C69" s="67"/>
      <c r="D69" s="79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</row>
    <row r="70" spans="1:25" ht="15.75" customHeight="1">
      <c r="A70" s="67"/>
      <c r="B70" s="79"/>
      <c r="C70" s="67"/>
      <c r="D70" s="79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</row>
    <row r="71" spans="1:25" ht="15.75" customHeight="1">
      <c r="A71" s="67"/>
      <c r="B71" s="79"/>
      <c r="C71" s="67"/>
      <c r="D71" s="79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</row>
    <row r="72" spans="1:25" ht="15.75" customHeight="1">
      <c r="A72" s="67"/>
      <c r="B72" s="79"/>
      <c r="C72" s="67"/>
      <c r="D72" s="79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</row>
    <row r="73" spans="1:25" ht="15.75" customHeight="1">
      <c r="A73" s="67"/>
      <c r="B73" s="79"/>
      <c r="C73" s="67"/>
      <c r="D73" s="79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</row>
    <row r="74" spans="1:25" ht="15.75" customHeight="1">
      <c r="A74" s="67"/>
      <c r="B74" s="79"/>
      <c r="C74" s="67"/>
      <c r="D74" s="79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</row>
    <row r="75" spans="1:25" ht="15.75" customHeight="1">
      <c r="A75" s="67"/>
      <c r="B75" s="79"/>
      <c r="C75" s="67"/>
      <c r="D75" s="79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</row>
    <row r="76" spans="1:25" ht="15.75" customHeight="1">
      <c r="A76" s="67"/>
      <c r="B76" s="79"/>
      <c r="C76" s="67"/>
      <c r="D76" s="79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</row>
    <row r="77" spans="1:25" ht="15.75" customHeight="1">
      <c r="A77" s="67"/>
      <c r="B77" s="79"/>
      <c r="C77" s="67"/>
      <c r="D77" s="79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</row>
    <row r="78" spans="1:25" ht="15.75" customHeight="1">
      <c r="A78" s="67"/>
      <c r="B78" s="79"/>
      <c r="C78" s="67"/>
      <c r="D78" s="79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</row>
    <row r="79" spans="1:25" ht="15.75" customHeight="1">
      <c r="A79" s="67"/>
      <c r="B79" s="79"/>
      <c r="C79" s="67"/>
      <c r="D79" s="79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</row>
    <row r="80" spans="1:25" ht="15.75" customHeight="1">
      <c r="A80" s="67"/>
      <c r="B80" s="79"/>
      <c r="C80" s="67"/>
      <c r="D80" s="79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</row>
    <row r="81" spans="1:25" ht="15.75" customHeight="1">
      <c r="A81" s="67"/>
      <c r="B81" s="79"/>
      <c r="C81" s="67"/>
      <c r="D81" s="79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</row>
    <row r="82" spans="1:25" ht="15.75" customHeight="1">
      <c r="A82" s="67"/>
      <c r="B82" s="79"/>
      <c r="C82" s="67"/>
      <c r="D82" s="79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</row>
    <row r="83" spans="1:25" ht="15.75" customHeight="1">
      <c r="A83" s="67"/>
      <c r="B83" s="79"/>
      <c r="C83" s="67"/>
      <c r="D83" s="79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</row>
    <row r="84" spans="1:25" ht="15.75" customHeight="1">
      <c r="A84" s="67"/>
      <c r="B84" s="79"/>
      <c r="C84" s="67"/>
      <c r="D84" s="79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</row>
    <row r="85" spans="1:25" ht="15.75" customHeight="1">
      <c r="A85" s="67"/>
      <c r="B85" s="79"/>
      <c r="C85" s="67"/>
      <c r="D85" s="79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</row>
    <row r="86" spans="1:25" ht="15.75" customHeight="1">
      <c r="A86" s="67"/>
      <c r="B86" s="79"/>
      <c r="C86" s="67"/>
      <c r="D86" s="79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</row>
    <row r="87" spans="1:25" ht="15.75" customHeight="1">
      <c r="A87" s="67"/>
      <c r="B87" s="79"/>
      <c r="C87" s="67"/>
      <c r="D87" s="79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</row>
    <row r="88" spans="1:25" ht="15.75" customHeight="1">
      <c r="A88" s="67"/>
      <c r="B88" s="79"/>
      <c r="C88" s="67"/>
      <c r="D88" s="79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</row>
    <row r="89" spans="1:25" ht="15.75" customHeight="1">
      <c r="A89" s="67"/>
      <c r="B89" s="79"/>
      <c r="C89" s="67"/>
      <c r="D89" s="79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</row>
    <row r="90" spans="1:25" ht="15.75" customHeight="1">
      <c r="A90" s="67"/>
      <c r="B90" s="79"/>
      <c r="C90" s="67"/>
      <c r="D90" s="79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</row>
    <row r="91" spans="1:25" ht="15.75" customHeight="1">
      <c r="A91" s="67"/>
      <c r="B91" s="79"/>
      <c r="C91" s="67"/>
      <c r="D91" s="79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</row>
    <row r="92" spans="1:25" ht="15.75" customHeight="1">
      <c r="A92" s="67"/>
      <c r="B92" s="79"/>
      <c r="C92" s="67"/>
      <c r="D92" s="79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</row>
    <row r="93" spans="1:25" ht="15.75" customHeight="1">
      <c r="A93" s="67"/>
      <c r="B93" s="79"/>
      <c r="C93" s="67"/>
      <c r="D93" s="79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</row>
    <row r="94" spans="1:25" ht="15.75" customHeight="1">
      <c r="A94" s="67"/>
      <c r="B94" s="79"/>
      <c r="C94" s="67"/>
      <c r="D94" s="79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</row>
    <row r="95" spans="1:25" ht="15.75" customHeight="1">
      <c r="A95" s="67"/>
      <c r="B95" s="79"/>
      <c r="C95" s="67"/>
      <c r="D95" s="79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</row>
    <row r="96" spans="1:25" ht="15.75" customHeight="1">
      <c r="A96" s="67"/>
      <c r="B96" s="79"/>
      <c r="C96" s="67"/>
      <c r="D96" s="79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</row>
    <row r="97" spans="1:25" ht="15.75" customHeight="1">
      <c r="A97" s="67"/>
      <c r="B97" s="79"/>
      <c r="C97" s="67"/>
      <c r="D97" s="79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</row>
    <row r="98" spans="1:25" ht="15.75" customHeight="1">
      <c r="A98" s="67"/>
      <c r="B98" s="79"/>
      <c r="C98" s="67"/>
      <c r="D98" s="79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</row>
    <row r="99" spans="1:25" ht="15.75" customHeight="1">
      <c r="A99" s="67"/>
      <c r="B99" s="79"/>
      <c r="C99" s="67"/>
      <c r="D99" s="79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</row>
    <row r="100" spans="1:25" ht="15.75" customHeight="1">
      <c r="A100" s="67"/>
      <c r="B100" s="79"/>
      <c r="C100" s="67"/>
      <c r="D100" s="79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</row>
    <row r="101" spans="1:25" ht="15.75" customHeight="1">
      <c r="A101" s="67"/>
      <c r="B101" s="79"/>
      <c r="C101" s="67"/>
      <c r="D101" s="79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</row>
    <row r="102" spans="1:25" ht="15.75" customHeight="1">
      <c r="A102" s="67"/>
      <c r="B102" s="79"/>
      <c r="C102" s="67"/>
      <c r="D102" s="79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</row>
    <row r="103" spans="1:25" ht="15.75" customHeight="1">
      <c r="A103" s="67"/>
      <c r="B103" s="79"/>
      <c r="C103" s="67"/>
      <c r="D103" s="79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</row>
    <row r="104" spans="1:25" ht="15.75" customHeight="1">
      <c r="A104" s="67"/>
      <c r="B104" s="79"/>
      <c r="C104" s="67"/>
      <c r="D104" s="79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</row>
    <row r="105" spans="1:25" ht="15.75" customHeight="1">
      <c r="A105" s="67"/>
      <c r="B105" s="79"/>
      <c r="C105" s="67"/>
      <c r="D105" s="79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</row>
    <row r="106" spans="1:25" ht="15.75" customHeight="1">
      <c r="A106" s="67"/>
      <c r="B106" s="79"/>
      <c r="C106" s="67"/>
      <c r="D106" s="79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</row>
    <row r="107" spans="1:25" ht="15.75" customHeight="1">
      <c r="A107" s="67"/>
      <c r="B107" s="79"/>
      <c r="C107" s="67"/>
      <c r="D107" s="79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</row>
    <row r="108" spans="1:25" ht="15.75" customHeight="1">
      <c r="A108" s="67"/>
      <c r="B108" s="79"/>
      <c r="C108" s="67"/>
      <c r="D108" s="79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</row>
    <row r="109" spans="1:25" ht="15.75" customHeight="1">
      <c r="A109" s="67"/>
      <c r="B109" s="79"/>
      <c r="C109" s="67"/>
      <c r="D109" s="79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</row>
    <row r="110" spans="1:25" ht="15.75" customHeight="1">
      <c r="A110" s="67"/>
      <c r="B110" s="79"/>
      <c r="C110" s="67"/>
      <c r="D110" s="79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</row>
    <row r="111" spans="1:25" ht="15.75" customHeight="1">
      <c r="A111" s="67"/>
      <c r="B111" s="79"/>
      <c r="C111" s="67"/>
      <c r="D111" s="79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</row>
    <row r="112" spans="1:25" ht="15.75" customHeight="1">
      <c r="A112" s="67"/>
      <c r="B112" s="79"/>
      <c r="C112" s="67"/>
      <c r="D112" s="79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</row>
    <row r="113" spans="1:25" ht="15.75" customHeight="1">
      <c r="A113" s="67"/>
      <c r="B113" s="79"/>
      <c r="C113" s="67"/>
      <c r="D113" s="79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</row>
    <row r="114" spans="1:25" ht="15.75" customHeight="1">
      <c r="A114" s="67"/>
      <c r="B114" s="79"/>
      <c r="C114" s="67"/>
      <c r="D114" s="79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</row>
    <row r="115" spans="1:25" ht="15.75" customHeight="1">
      <c r="A115" s="67"/>
      <c r="B115" s="79"/>
      <c r="C115" s="67"/>
      <c r="D115" s="79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</row>
    <row r="116" spans="1:25" ht="15.75" customHeight="1">
      <c r="A116" s="67"/>
      <c r="B116" s="79"/>
      <c r="C116" s="67"/>
      <c r="D116" s="79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</row>
    <row r="117" spans="1:25" ht="15.75" customHeight="1">
      <c r="A117" s="67"/>
      <c r="B117" s="79"/>
      <c r="C117" s="67"/>
      <c r="D117" s="79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</row>
    <row r="118" spans="1:25" ht="15.75" customHeight="1">
      <c r="A118" s="67"/>
      <c r="B118" s="79"/>
      <c r="C118" s="67"/>
      <c r="D118" s="79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</row>
    <row r="119" spans="1:25" ht="15.75" customHeight="1">
      <c r="A119" s="67"/>
      <c r="B119" s="79"/>
      <c r="C119" s="67"/>
      <c r="D119" s="79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</row>
    <row r="120" spans="1:25" ht="15.75" customHeight="1">
      <c r="A120" s="67"/>
      <c r="B120" s="79"/>
      <c r="C120" s="67"/>
      <c r="D120" s="79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</row>
    <row r="121" spans="1:25" ht="15.75" customHeight="1">
      <c r="A121" s="67"/>
      <c r="B121" s="79"/>
      <c r="C121" s="67"/>
      <c r="D121" s="79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</row>
    <row r="122" spans="1:25" ht="15.75" customHeight="1">
      <c r="A122" s="67"/>
      <c r="B122" s="79"/>
      <c r="C122" s="67"/>
      <c r="D122" s="79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</row>
    <row r="123" spans="1:25" ht="15.75" customHeight="1">
      <c r="A123" s="67"/>
      <c r="B123" s="79"/>
      <c r="C123" s="67"/>
      <c r="D123" s="79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</row>
    <row r="124" spans="1:25" ht="15.75" customHeight="1">
      <c r="A124" s="67"/>
      <c r="B124" s="79"/>
      <c r="C124" s="67"/>
      <c r="D124" s="79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</row>
    <row r="125" spans="1:25" ht="15.75" customHeight="1">
      <c r="A125" s="67"/>
      <c r="B125" s="79"/>
      <c r="C125" s="67"/>
      <c r="D125" s="79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</row>
    <row r="126" spans="1:25" ht="15.75" customHeight="1">
      <c r="A126" s="67"/>
      <c r="B126" s="79"/>
      <c r="C126" s="67"/>
      <c r="D126" s="79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</row>
    <row r="127" spans="1:25" ht="15.75" customHeight="1">
      <c r="A127" s="67"/>
      <c r="B127" s="79"/>
      <c r="C127" s="67"/>
      <c r="D127" s="79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</row>
    <row r="128" spans="1:25" ht="15.75" customHeight="1">
      <c r="A128" s="67"/>
      <c r="B128" s="79"/>
      <c r="C128" s="67"/>
      <c r="D128" s="79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</row>
    <row r="129" spans="1:25" ht="15.75" customHeight="1">
      <c r="A129" s="67"/>
      <c r="B129" s="79"/>
      <c r="C129" s="67"/>
      <c r="D129" s="79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</row>
    <row r="130" spans="1:25" ht="15.75" customHeight="1">
      <c r="A130" s="67"/>
      <c r="B130" s="79"/>
      <c r="C130" s="67"/>
      <c r="D130" s="79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</row>
    <row r="131" spans="1:25" ht="15.75" customHeight="1">
      <c r="A131" s="67"/>
      <c r="B131" s="79"/>
      <c r="C131" s="67"/>
      <c r="D131" s="79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</row>
    <row r="132" spans="1:25" ht="15.75" customHeight="1">
      <c r="A132" s="67"/>
      <c r="B132" s="79"/>
      <c r="C132" s="67"/>
      <c r="D132" s="79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</row>
    <row r="133" spans="1:25" ht="15.75" customHeight="1">
      <c r="A133" s="67"/>
      <c r="B133" s="79"/>
      <c r="C133" s="67"/>
      <c r="D133" s="79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</row>
    <row r="134" spans="1:25" ht="15.75" customHeight="1">
      <c r="A134" s="67"/>
      <c r="B134" s="79"/>
      <c r="C134" s="67"/>
      <c r="D134" s="79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</row>
    <row r="135" spans="1:25" ht="15.75" customHeight="1">
      <c r="A135" s="67"/>
      <c r="B135" s="79"/>
      <c r="C135" s="67"/>
      <c r="D135" s="79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</row>
    <row r="136" spans="1:25" ht="15.75" customHeight="1">
      <c r="A136" s="67"/>
      <c r="B136" s="79"/>
      <c r="C136" s="67"/>
      <c r="D136" s="79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</row>
    <row r="137" spans="1:25" ht="15.75" customHeight="1">
      <c r="A137" s="67"/>
      <c r="B137" s="79"/>
      <c r="C137" s="67"/>
      <c r="D137" s="79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</row>
    <row r="138" spans="1:25" ht="15.75" customHeight="1">
      <c r="A138" s="67"/>
      <c r="B138" s="79"/>
      <c r="C138" s="67"/>
      <c r="D138" s="79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</row>
    <row r="139" spans="1:25" ht="15.75" customHeight="1">
      <c r="A139" s="67"/>
      <c r="B139" s="79"/>
      <c r="C139" s="67"/>
      <c r="D139" s="79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</row>
    <row r="140" spans="1:25" ht="15.75" customHeight="1">
      <c r="A140" s="67"/>
      <c r="B140" s="79"/>
      <c r="C140" s="67"/>
      <c r="D140" s="79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</row>
    <row r="141" spans="1:25" ht="15.75" customHeight="1">
      <c r="A141" s="67"/>
      <c r="B141" s="79"/>
      <c r="C141" s="67"/>
      <c r="D141" s="79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</row>
    <row r="142" spans="1:25" ht="15.75" customHeight="1">
      <c r="A142" s="67"/>
      <c r="B142" s="79"/>
      <c r="C142" s="67"/>
      <c r="D142" s="79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</row>
    <row r="143" spans="1:25" ht="15.75" customHeight="1">
      <c r="A143" s="67"/>
      <c r="B143" s="79"/>
      <c r="C143" s="67"/>
      <c r="D143" s="79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</row>
    <row r="144" spans="1:25" ht="15.75" customHeight="1">
      <c r="A144" s="67"/>
      <c r="B144" s="79"/>
      <c r="C144" s="67"/>
      <c r="D144" s="79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</row>
    <row r="145" spans="1:25" ht="15.75" customHeight="1">
      <c r="A145" s="67"/>
      <c r="B145" s="79"/>
      <c r="C145" s="67"/>
      <c r="D145" s="79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</row>
    <row r="146" spans="1:25" ht="15.75" customHeight="1">
      <c r="A146" s="67"/>
      <c r="B146" s="79"/>
      <c r="C146" s="67"/>
      <c r="D146" s="79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</row>
    <row r="147" spans="1:25" ht="15.75" customHeight="1">
      <c r="A147" s="67"/>
      <c r="B147" s="79"/>
      <c r="C147" s="67"/>
      <c r="D147" s="79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</row>
    <row r="148" spans="1:25" ht="15.75" customHeight="1">
      <c r="A148" s="67"/>
      <c r="B148" s="79"/>
      <c r="C148" s="67"/>
      <c r="D148" s="79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</row>
    <row r="149" spans="1:25" ht="15.75" customHeight="1">
      <c r="A149" s="67"/>
      <c r="B149" s="79"/>
      <c r="C149" s="67"/>
      <c r="D149" s="79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</row>
    <row r="150" spans="1:25" ht="15.75" customHeight="1">
      <c r="A150" s="67"/>
      <c r="B150" s="79"/>
      <c r="C150" s="67"/>
      <c r="D150" s="79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</row>
    <row r="151" spans="1:25" ht="15.75" customHeight="1">
      <c r="A151" s="67"/>
      <c r="B151" s="79"/>
      <c r="C151" s="67"/>
      <c r="D151" s="79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</row>
    <row r="152" spans="1:25" ht="15.75" customHeight="1">
      <c r="A152" s="67"/>
      <c r="B152" s="79"/>
      <c r="C152" s="67"/>
      <c r="D152" s="79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</row>
    <row r="153" spans="1:25" ht="15.75" customHeight="1">
      <c r="A153" s="67"/>
      <c r="B153" s="79"/>
      <c r="C153" s="67"/>
      <c r="D153" s="79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</row>
    <row r="154" spans="1:25" ht="15.75" customHeight="1">
      <c r="A154" s="67"/>
      <c r="B154" s="79"/>
      <c r="C154" s="67"/>
      <c r="D154" s="79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</row>
    <row r="155" spans="1:25" ht="15.75" customHeight="1">
      <c r="A155" s="67"/>
      <c r="B155" s="79"/>
      <c r="C155" s="67"/>
      <c r="D155" s="79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</row>
    <row r="156" spans="1:25" ht="15.75" customHeight="1">
      <c r="A156" s="67"/>
      <c r="B156" s="79"/>
      <c r="C156" s="67"/>
      <c r="D156" s="79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</row>
    <row r="157" spans="1:25" ht="15.75" customHeight="1">
      <c r="A157" s="67"/>
      <c r="B157" s="79"/>
      <c r="C157" s="67"/>
      <c r="D157" s="79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</row>
    <row r="158" spans="1:25" ht="15.75" customHeight="1">
      <c r="A158" s="67"/>
      <c r="B158" s="79"/>
      <c r="C158" s="67"/>
      <c r="D158" s="79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</row>
    <row r="159" spans="1:25" ht="15.75" customHeight="1">
      <c r="A159" s="67"/>
      <c r="B159" s="79"/>
      <c r="C159" s="67"/>
      <c r="D159" s="79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</row>
    <row r="160" spans="1:25" ht="15.75" customHeight="1">
      <c r="A160" s="67"/>
      <c r="B160" s="79"/>
      <c r="C160" s="67"/>
      <c r="D160" s="79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</row>
    <row r="161" spans="1:25" ht="15.75" customHeight="1">
      <c r="A161" s="67"/>
      <c r="B161" s="79"/>
      <c r="C161" s="67"/>
      <c r="D161" s="79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</row>
    <row r="162" spans="1:25" ht="15.75" customHeight="1">
      <c r="A162" s="67"/>
      <c r="B162" s="79"/>
      <c r="C162" s="67"/>
      <c r="D162" s="79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</row>
    <row r="163" spans="1:25" ht="15.75" customHeight="1">
      <c r="A163" s="67"/>
      <c r="B163" s="79"/>
      <c r="C163" s="67"/>
      <c r="D163" s="79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</row>
    <row r="164" spans="1:25" ht="15.75" customHeight="1">
      <c r="A164" s="67"/>
      <c r="B164" s="79"/>
      <c r="C164" s="67"/>
      <c r="D164" s="79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</row>
    <row r="165" spans="1:25" ht="15.75" customHeight="1">
      <c r="A165" s="67"/>
      <c r="B165" s="79"/>
      <c r="C165" s="67"/>
      <c r="D165" s="79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</row>
    <row r="166" spans="1:25" ht="15.75" customHeight="1">
      <c r="A166" s="67"/>
      <c r="B166" s="79"/>
      <c r="C166" s="67"/>
      <c r="D166" s="79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</row>
    <row r="167" spans="1:25" ht="15.75" customHeight="1">
      <c r="A167" s="67"/>
      <c r="B167" s="79"/>
      <c r="C167" s="67"/>
      <c r="D167" s="79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</row>
    <row r="168" spans="1:25" ht="15.75" customHeight="1">
      <c r="A168" s="67"/>
      <c r="B168" s="79"/>
      <c r="C168" s="67"/>
      <c r="D168" s="79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</row>
    <row r="169" spans="1:25" ht="15.75" customHeight="1">
      <c r="A169" s="67"/>
      <c r="B169" s="79"/>
      <c r="C169" s="67"/>
      <c r="D169" s="79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</row>
    <row r="170" spans="1:25" ht="15.75" customHeight="1">
      <c r="A170" s="67"/>
      <c r="B170" s="79"/>
      <c r="C170" s="67"/>
      <c r="D170" s="79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</row>
    <row r="171" spans="1:25" ht="15.75" customHeight="1">
      <c r="A171" s="67"/>
      <c r="B171" s="79"/>
      <c r="C171" s="67"/>
      <c r="D171" s="79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</row>
    <row r="172" spans="1:25" ht="15.75" customHeight="1">
      <c r="A172" s="67"/>
      <c r="B172" s="79"/>
      <c r="C172" s="67"/>
      <c r="D172" s="79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</row>
    <row r="173" spans="1:25" ht="15.75" customHeight="1">
      <c r="A173" s="67"/>
      <c r="B173" s="79"/>
      <c r="C173" s="67"/>
      <c r="D173" s="79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</row>
    <row r="174" spans="1:25" ht="15.75" customHeight="1">
      <c r="A174" s="67"/>
      <c r="B174" s="79"/>
      <c r="C174" s="67"/>
      <c r="D174" s="79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</row>
    <row r="175" spans="1:25" ht="15.75" customHeight="1">
      <c r="A175" s="67"/>
      <c r="B175" s="79"/>
      <c r="C175" s="67"/>
      <c r="D175" s="79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</row>
    <row r="176" spans="1:25" ht="15.75" customHeight="1">
      <c r="A176" s="67"/>
      <c r="B176" s="79"/>
      <c r="C176" s="67"/>
      <c r="D176" s="79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</row>
    <row r="177" spans="1:25" ht="15.75" customHeight="1">
      <c r="A177" s="67"/>
      <c r="B177" s="79"/>
      <c r="C177" s="67"/>
      <c r="D177" s="79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</row>
    <row r="178" spans="1:25" ht="15.75" customHeight="1">
      <c r="A178" s="67"/>
      <c r="B178" s="79"/>
      <c r="C178" s="67"/>
      <c r="D178" s="79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</row>
    <row r="179" spans="1:25" ht="15.75" customHeight="1">
      <c r="A179" s="67"/>
      <c r="B179" s="79"/>
      <c r="C179" s="67"/>
      <c r="D179" s="79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</row>
    <row r="180" spans="1:25" ht="15.75" customHeight="1">
      <c r="A180" s="67"/>
      <c r="B180" s="79"/>
      <c r="C180" s="67"/>
      <c r="D180" s="79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</row>
    <row r="181" spans="1:25" ht="15.75" customHeight="1">
      <c r="A181" s="67"/>
      <c r="B181" s="79"/>
      <c r="C181" s="67"/>
      <c r="D181" s="79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</row>
    <row r="182" spans="1:25" ht="15.75" customHeight="1">
      <c r="A182" s="67"/>
      <c r="B182" s="79"/>
      <c r="C182" s="67"/>
      <c r="D182" s="79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</row>
    <row r="183" spans="1:25" ht="15.75" customHeight="1">
      <c r="A183" s="67"/>
      <c r="B183" s="79"/>
      <c r="C183" s="67"/>
      <c r="D183" s="79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</row>
    <row r="184" spans="1:25" ht="15.75" customHeight="1">
      <c r="A184" s="67"/>
      <c r="B184" s="79"/>
      <c r="C184" s="67"/>
      <c r="D184" s="79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</row>
    <row r="185" spans="1:25" ht="15.75" customHeight="1">
      <c r="A185" s="67"/>
      <c r="B185" s="79"/>
      <c r="C185" s="67"/>
      <c r="D185" s="79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</row>
    <row r="186" spans="1:25" ht="15.75" customHeight="1">
      <c r="A186" s="67"/>
      <c r="B186" s="79"/>
      <c r="C186" s="67"/>
      <c r="D186" s="79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</row>
    <row r="187" spans="1:25" ht="15.75" customHeight="1">
      <c r="A187" s="67"/>
      <c r="B187" s="79"/>
      <c r="C187" s="67"/>
      <c r="D187" s="79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</row>
    <row r="188" spans="1:25" ht="15.75" customHeight="1">
      <c r="A188" s="67"/>
      <c r="B188" s="79"/>
      <c r="C188" s="67"/>
      <c r="D188" s="79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</row>
    <row r="189" spans="1:25" ht="15.75" customHeight="1">
      <c r="A189" s="67"/>
      <c r="B189" s="79"/>
      <c r="C189" s="67"/>
      <c r="D189" s="79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</row>
    <row r="190" spans="1:25" ht="15.75" customHeight="1">
      <c r="A190" s="67"/>
      <c r="B190" s="79"/>
      <c r="C190" s="67"/>
      <c r="D190" s="79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</row>
    <row r="191" spans="1:25" ht="15.75" customHeight="1">
      <c r="A191" s="67"/>
      <c r="B191" s="79"/>
      <c r="C191" s="67"/>
      <c r="D191" s="79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</row>
    <row r="192" spans="1:25" ht="15.75" customHeight="1">
      <c r="A192" s="67"/>
      <c r="B192" s="79"/>
      <c r="C192" s="67"/>
      <c r="D192" s="79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</row>
    <row r="193" spans="1:25" ht="15.75" customHeight="1">
      <c r="A193" s="67"/>
      <c r="B193" s="79"/>
      <c r="C193" s="67"/>
      <c r="D193" s="79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</row>
    <row r="194" spans="1:25" ht="15.75" customHeight="1">
      <c r="A194" s="67"/>
      <c r="B194" s="79"/>
      <c r="C194" s="67"/>
      <c r="D194" s="79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</row>
    <row r="195" spans="1:25" ht="15.75" customHeight="1">
      <c r="A195" s="67"/>
      <c r="B195" s="79"/>
      <c r="C195" s="67"/>
      <c r="D195" s="79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</row>
    <row r="196" spans="1:25" ht="15.75" customHeight="1">
      <c r="A196" s="67"/>
      <c r="B196" s="79"/>
      <c r="C196" s="67"/>
      <c r="D196" s="79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</row>
    <row r="197" spans="1:25" ht="15.75" customHeight="1">
      <c r="A197" s="67"/>
      <c r="B197" s="79"/>
      <c r="C197" s="67"/>
      <c r="D197" s="79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</row>
    <row r="198" spans="1:25" ht="15.75" customHeight="1">
      <c r="A198" s="67"/>
      <c r="B198" s="79"/>
      <c r="C198" s="67"/>
      <c r="D198" s="79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</row>
    <row r="199" spans="1:25" ht="15.75" customHeight="1">
      <c r="A199" s="67"/>
      <c r="B199" s="79"/>
      <c r="C199" s="67"/>
      <c r="D199" s="79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</row>
    <row r="200" spans="1:25" ht="15.75" customHeight="1">
      <c r="A200" s="67"/>
      <c r="B200" s="79"/>
      <c r="C200" s="67"/>
      <c r="D200" s="79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</row>
    <row r="201" spans="1:25" ht="15.75" customHeight="1">
      <c r="A201" s="67"/>
      <c r="B201" s="79"/>
      <c r="C201" s="67"/>
      <c r="D201" s="79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</row>
    <row r="202" spans="1:25" ht="15.75" customHeight="1">
      <c r="A202" s="67"/>
      <c r="B202" s="79"/>
      <c r="C202" s="67"/>
      <c r="D202" s="79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</row>
    <row r="203" spans="1:25" ht="15.75" customHeight="1">
      <c r="A203" s="67"/>
      <c r="B203" s="79"/>
      <c r="C203" s="67"/>
      <c r="D203" s="79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</row>
    <row r="204" spans="1:25" ht="15.75" customHeight="1">
      <c r="A204" s="67"/>
      <c r="B204" s="79"/>
      <c r="C204" s="67"/>
      <c r="D204" s="79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</row>
    <row r="205" spans="1:25" ht="15.75" customHeight="1">
      <c r="A205" s="67"/>
      <c r="B205" s="79"/>
      <c r="C205" s="67"/>
      <c r="D205" s="79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</row>
    <row r="206" spans="1:25" ht="15.75" customHeight="1">
      <c r="A206" s="67"/>
      <c r="B206" s="79"/>
      <c r="C206" s="67"/>
      <c r="D206" s="79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</row>
    <row r="207" spans="1:25" ht="15.75" customHeight="1">
      <c r="A207" s="67"/>
      <c r="B207" s="79"/>
      <c r="C207" s="67"/>
      <c r="D207" s="79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</row>
    <row r="208" spans="1:25" ht="15.75" customHeight="1">
      <c r="A208" s="67"/>
      <c r="B208" s="79"/>
      <c r="C208" s="67"/>
      <c r="D208" s="79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</row>
    <row r="209" spans="1:25" ht="15.75" customHeight="1">
      <c r="A209" s="67"/>
      <c r="B209" s="79"/>
      <c r="C209" s="67"/>
      <c r="D209" s="79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</row>
    <row r="210" spans="1:25" ht="15.75" customHeight="1">
      <c r="A210" s="67"/>
      <c r="B210" s="79"/>
      <c r="C210" s="67"/>
      <c r="D210" s="79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</row>
    <row r="211" spans="1:25" ht="15.75" customHeight="1">
      <c r="A211" s="67"/>
      <c r="B211" s="79"/>
      <c r="C211" s="67"/>
      <c r="D211" s="79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</row>
    <row r="212" spans="1:25" ht="15.75" customHeight="1">
      <c r="A212" s="67"/>
      <c r="B212" s="79"/>
      <c r="C212" s="67"/>
      <c r="D212" s="79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</row>
    <row r="213" spans="1:25" ht="15.75" customHeight="1">
      <c r="A213" s="67"/>
      <c r="B213" s="79"/>
      <c r="C213" s="67"/>
      <c r="D213" s="79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</row>
    <row r="214" spans="1:25" ht="15.75" customHeight="1">
      <c r="A214" s="67"/>
      <c r="B214" s="79"/>
      <c r="C214" s="67"/>
      <c r="D214" s="79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</row>
    <row r="215" spans="1:25" ht="15.75" customHeight="1">
      <c r="A215" s="67"/>
      <c r="B215" s="79"/>
      <c r="C215" s="67"/>
      <c r="D215" s="79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</row>
    <row r="216" spans="1:25" ht="15.75" customHeight="1">
      <c r="A216" s="67"/>
      <c r="B216" s="79"/>
      <c r="C216" s="67"/>
      <c r="D216" s="79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</row>
    <row r="217" spans="1:25" ht="15.75" customHeight="1">
      <c r="A217" s="67"/>
      <c r="B217" s="79"/>
      <c r="C217" s="67"/>
      <c r="D217" s="79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</row>
    <row r="218" spans="1:25" ht="15.75" customHeight="1">
      <c r="A218" s="67"/>
      <c r="B218" s="79"/>
      <c r="C218" s="67"/>
      <c r="D218" s="79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</row>
    <row r="219" spans="1:25" ht="15.75" customHeight="1">
      <c r="A219" s="67"/>
      <c r="B219" s="79"/>
      <c r="C219" s="67"/>
      <c r="D219" s="79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</row>
    <row r="220" spans="1:25" ht="15.75" customHeight="1">
      <c r="A220" s="67"/>
      <c r="B220" s="79"/>
      <c r="C220" s="67"/>
      <c r="D220" s="79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</row>
    <row r="221" spans="1:25" ht="15.75" customHeight="1">
      <c r="A221" s="67"/>
      <c r="B221" s="79"/>
      <c r="C221" s="67"/>
      <c r="D221" s="79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</row>
    <row r="222" spans="1:25" ht="15.75" customHeight="1">
      <c r="A222" s="67"/>
      <c r="B222" s="79"/>
      <c r="C222" s="67"/>
      <c r="D222" s="79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</row>
    <row r="223" spans="1:25" ht="15.75" customHeight="1">
      <c r="A223" s="67"/>
      <c r="B223" s="79"/>
      <c r="C223" s="67"/>
      <c r="D223" s="79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</row>
    <row r="224" spans="1:25" ht="15.75" customHeight="1">
      <c r="A224" s="67"/>
      <c r="B224" s="79"/>
      <c r="C224" s="67"/>
      <c r="D224" s="79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</row>
    <row r="225" spans="1:25" ht="15.75" customHeight="1">
      <c r="A225" s="67"/>
      <c r="B225" s="79"/>
      <c r="C225" s="67"/>
      <c r="D225" s="79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</row>
    <row r="226" spans="1:25" ht="15.75" customHeight="1">
      <c r="A226" s="67"/>
      <c r="B226" s="79"/>
      <c r="C226" s="67"/>
      <c r="D226" s="79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</row>
    <row r="227" spans="1:25" ht="15.75" customHeight="1">
      <c r="A227" s="67"/>
      <c r="B227" s="79"/>
      <c r="C227" s="67"/>
      <c r="D227" s="79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</row>
    <row r="228" spans="1:25" ht="15.75" customHeight="1">
      <c r="A228" s="67"/>
      <c r="B228" s="79"/>
      <c r="C228" s="67"/>
      <c r="D228" s="79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</row>
    <row r="229" spans="1:25" ht="15.75" customHeight="1">
      <c r="A229" s="67"/>
      <c r="B229" s="79"/>
      <c r="C229" s="67"/>
      <c r="D229" s="79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</row>
    <row r="230" spans="1:25" ht="15.75" customHeight="1">
      <c r="A230" s="67"/>
      <c r="B230" s="79"/>
      <c r="C230" s="67"/>
      <c r="D230" s="79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</row>
    <row r="231" spans="1:25" ht="15.75" customHeight="1">
      <c r="A231" s="67"/>
      <c r="B231" s="79"/>
      <c r="C231" s="67"/>
      <c r="D231" s="79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</row>
    <row r="232" spans="1:25" ht="15.75" customHeight="1"/>
    <row r="233" spans="1:25" ht="15.75" customHeight="1"/>
    <row r="234" spans="1:25" ht="15.75" customHeight="1"/>
    <row r="235" spans="1:25" ht="15.75" customHeight="1"/>
    <row r="236" spans="1:25" ht="15.75" customHeight="1"/>
    <row r="237" spans="1:25" ht="15.75" customHeight="1"/>
    <row r="238" spans="1:25" ht="15.75" customHeight="1"/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998"/>
  <sheetViews>
    <sheetView workbookViewId="0">
      <selection sqref="A1:I1"/>
    </sheetView>
  </sheetViews>
  <sheetFormatPr defaultColWidth="14.42578125" defaultRowHeight="15" customHeight="1"/>
  <cols>
    <col min="1" max="1" width="6.28515625" customWidth="1"/>
    <col min="2" max="2" width="37.140625" customWidth="1"/>
    <col min="3" max="3" width="11.140625" customWidth="1"/>
    <col min="4" max="4" width="12.28515625" customWidth="1"/>
    <col min="5" max="5" width="14.5703125" customWidth="1"/>
    <col min="6" max="6" width="14.42578125" customWidth="1"/>
    <col min="8" max="8" width="28.5703125" customWidth="1"/>
  </cols>
  <sheetData>
    <row r="1" spans="1:12">
      <c r="A1" s="163" t="s">
        <v>115</v>
      </c>
      <c r="B1" s="149"/>
      <c r="C1" s="149"/>
      <c r="D1" s="149"/>
      <c r="E1" s="149"/>
      <c r="F1" s="149"/>
      <c r="G1" s="149"/>
      <c r="H1" s="149"/>
      <c r="I1" s="149"/>
      <c r="J1" s="84"/>
      <c r="K1" s="84"/>
      <c r="L1" s="84"/>
    </row>
    <row r="2" spans="1:12">
      <c r="A2" s="84"/>
      <c r="B2" s="84"/>
      <c r="C2" s="85"/>
      <c r="D2" s="85"/>
      <c r="E2" s="85"/>
      <c r="F2" s="85"/>
      <c r="G2" s="85"/>
      <c r="H2" s="85"/>
      <c r="I2" s="85"/>
      <c r="J2" s="84"/>
      <c r="K2" s="84"/>
      <c r="L2" s="84"/>
    </row>
    <row r="3" spans="1:12" ht="28.5" customHeight="1">
      <c r="A3" s="86" t="s">
        <v>0</v>
      </c>
      <c r="B3" s="86" t="s">
        <v>116</v>
      </c>
      <c r="C3" s="87" t="s">
        <v>117</v>
      </c>
      <c r="D3" s="87" t="s">
        <v>118</v>
      </c>
      <c r="E3" s="87" t="s">
        <v>119</v>
      </c>
      <c r="F3" s="87" t="s">
        <v>120</v>
      </c>
      <c r="G3" s="87" t="s">
        <v>121</v>
      </c>
      <c r="H3" s="87" t="s">
        <v>122</v>
      </c>
      <c r="I3" s="87" t="s">
        <v>123</v>
      </c>
      <c r="J3" s="88"/>
      <c r="K3" s="88"/>
      <c r="L3" s="88"/>
    </row>
    <row r="4" spans="1:12">
      <c r="A4" s="89">
        <v>1</v>
      </c>
      <c r="B4" s="90" t="s">
        <v>124</v>
      </c>
      <c r="C4" s="91">
        <f>KAK!R10</f>
        <v>15</v>
      </c>
      <c r="D4" s="91">
        <f>KAK!J21</f>
        <v>295</v>
      </c>
      <c r="E4" s="92">
        <f>C4+D4</f>
        <v>310</v>
      </c>
      <c r="F4" s="93">
        <f>(C4+D4)*0.87*0.77</f>
        <v>207.66899999999998</v>
      </c>
      <c r="G4" s="93">
        <f>F4*20</f>
        <v>4153.3799999999992</v>
      </c>
      <c r="H4" s="93">
        <f>G4/8</f>
        <v>519.1724999999999</v>
      </c>
      <c r="I4" s="93">
        <f>H4/22</f>
        <v>23.598749999999995</v>
      </c>
      <c r="J4" s="84"/>
      <c r="K4" s="84"/>
      <c r="L4" s="84"/>
    </row>
    <row r="5" spans="1:12">
      <c r="A5" s="89">
        <v>2</v>
      </c>
      <c r="B5" s="90"/>
      <c r="C5" s="91"/>
      <c r="D5" s="91"/>
      <c r="E5" s="92"/>
      <c r="F5" s="93"/>
      <c r="G5" s="93"/>
      <c r="H5" s="93"/>
      <c r="I5" s="93"/>
      <c r="J5" s="84"/>
      <c r="K5" s="84"/>
      <c r="L5" s="84"/>
    </row>
    <row r="6" spans="1:12">
      <c r="A6" s="94"/>
      <c r="B6" s="95" t="s">
        <v>125</v>
      </c>
      <c r="C6" s="96"/>
      <c r="D6" s="96"/>
      <c r="E6" s="92"/>
      <c r="F6" s="93"/>
      <c r="G6" s="93"/>
      <c r="H6" s="93"/>
      <c r="I6" s="96">
        <f>SUM(I4:I5)</f>
        <v>23.598749999999995</v>
      </c>
      <c r="J6" s="84"/>
      <c r="K6" s="84"/>
      <c r="L6" s="84"/>
    </row>
    <row r="7" spans="1:12">
      <c r="A7" s="84"/>
      <c r="B7" s="84"/>
      <c r="C7" s="85"/>
      <c r="D7" s="85"/>
      <c r="E7" s="85"/>
      <c r="F7" s="85"/>
      <c r="G7" s="85"/>
      <c r="H7" s="85"/>
      <c r="I7" s="85"/>
      <c r="J7" s="84"/>
      <c r="K7" s="84"/>
      <c r="L7" s="84"/>
    </row>
    <row r="8" spans="1:12">
      <c r="A8" s="84"/>
      <c r="B8" s="97" t="s">
        <v>64</v>
      </c>
      <c r="C8" s="85"/>
      <c r="D8" s="85"/>
      <c r="E8" s="85"/>
      <c r="F8" s="85"/>
      <c r="G8" s="85"/>
      <c r="H8" s="85"/>
      <c r="I8" s="85"/>
      <c r="J8" s="84"/>
      <c r="K8" s="84"/>
      <c r="L8" s="84"/>
    </row>
    <row r="9" spans="1:12">
      <c r="A9" s="84"/>
      <c r="B9" s="164" t="s">
        <v>126</v>
      </c>
      <c r="C9" s="149"/>
      <c r="D9" s="85"/>
      <c r="E9" s="85"/>
      <c r="F9" s="98">
        <v>198</v>
      </c>
      <c r="G9" s="85">
        <f t="shared" ref="G9:G10" si="0">F9*8.2</f>
        <v>1623.6</v>
      </c>
      <c r="H9" s="98">
        <v>1.623</v>
      </c>
      <c r="I9" s="85"/>
      <c r="J9" s="84"/>
      <c r="K9" s="84"/>
      <c r="L9" s="84"/>
    </row>
    <row r="10" spans="1:12" ht="30">
      <c r="A10" s="84"/>
      <c r="B10" s="164" t="s">
        <v>127</v>
      </c>
      <c r="C10" s="149"/>
      <c r="D10" s="85"/>
      <c r="E10" s="85"/>
      <c r="F10" s="98">
        <v>139.5</v>
      </c>
      <c r="G10" s="85">
        <f t="shared" si="0"/>
        <v>1143.8999999999999</v>
      </c>
      <c r="H10" s="98" t="s">
        <v>128</v>
      </c>
      <c r="I10" s="85"/>
      <c r="J10" s="84"/>
      <c r="K10" s="84"/>
      <c r="L10" s="84"/>
    </row>
    <row r="11" spans="1:12">
      <c r="A11" s="84"/>
      <c r="B11" s="97" t="s">
        <v>129</v>
      </c>
      <c r="D11" s="85"/>
      <c r="E11" s="85"/>
      <c r="F11" s="85"/>
      <c r="G11" s="85"/>
      <c r="H11" s="85"/>
      <c r="I11" s="85"/>
      <c r="J11" s="84"/>
      <c r="K11" s="84"/>
      <c r="L11" s="84"/>
    </row>
    <row r="12" spans="1:12">
      <c r="A12" s="84"/>
      <c r="B12" s="97" t="s">
        <v>130</v>
      </c>
      <c r="C12" s="85"/>
      <c r="D12" s="85"/>
      <c r="E12" s="85"/>
      <c r="F12" s="85"/>
      <c r="G12" s="85"/>
      <c r="H12" s="85"/>
      <c r="I12" s="85"/>
      <c r="J12" s="84"/>
      <c r="K12" s="84"/>
      <c r="L12" s="84"/>
    </row>
    <row r="13" spans="1:12">
      <c r="A13" s="84"/>
      <c r="B13" s="97" t="s">
        <v>131</v>
      </c>
      <c r="C13" s="85"/>
      <c r="D13" s="85"/>
      <c r="E13" s="85"/>
      <c r="F13" s="85"/>
      <c r="G13" s="85"/>
      <c r="H13" s="85"/>
      <c r="I13" s="85"/>
      <c r="J13" s="84"/>
      <c r="K13" s="84"/>
      <c r="L13" s="84"/>
    </row>
    <row r="14" spans="1:12">
      <c r="A14" s="84"/>
      <c r="B14" s="97" t="s">
        <v>132</v>
      </c>
      <c r="C14" s="85"/>
      <c r="D14" s="85"/>
      <c r="E14" s="85"/>
      <c r="F14" s="85"/>
      <c r="G14" s="85"/>
      <c r="H14" s="85"/>
      <c r="I14" s="85"/>
      <c r="J14" s="84"/>
      <c r="K14" s="84"/>
      <c r="L14" s="84"/>
    </row>
    <row r="15" spans="1:12">
      <c r="A15" s="84"/>
      <c r="B15" s="97" t="s">
        <v>133</v>
      </c>
      <c r="C15" s="85"/>
      <c r="D15" s="85"/>
      <c r="E15" s="85"/>
      <c r="F15" s="85"/>
      <c r="G15" s="85"/>
      <c r="H15" s="85"/>
      <c r="I15" s="85"/>
      <c r="J15" s="84"/>
      <c r="K15" s="84"/>
      <c r="L15" s="84"/>
    </row>
    <row r="16" spans="1:12">
      <c r="C16" s="99"/>
      <c r="D16" s="99"/>
      <c r="E16" s="99"/>
      <c r="F16" s="99"/>
      <c r="G16" s="99"/>
      <c r="H16" s="99"/>
      <c r="I16" s="99"/>
    </row>
    <row r="17" spans="2:9">
      <c r="B17" s="100" t="s">
        <v>134</v>
      </c>
      <c r="C17" s="101" t="s">
        <v>135</v>
      </c>
      <c r="D17" s="99"/>
      <c r="E17" s="99"/>
      <c r="F17" s="99"/>
      <c r="G17" s="99"/>
      <c r="H17" s="99"/>
      <c r="I17" s="99"/>
    </row>
    <row r="18" spans="2:9" ht="15.75">
      <c r="B18" s="102" t="s">
        <v>136</v>
      </c>
      <c r="C18" s="103">
        <v>20</v>
      </c>
      <c r="D18" s="99"/>
      <c r="E18" s="99"/>
      <c r="F18" s="99"/>
      <c r="G18" s="99"/>
      <c r="H18" s="99"/>
      <c r="I18" s="99"/>
    </row>
    <row r="19" spans="2:9" ht="15.75" customHeight="1">
      <c r="C19" s="99"/>
      <c r="D19" s="99"/>
      <c r="E19" s="99"/>
      <c r="F19" s="99"/>
      <c r="G19" s="99"/>
      <c r="H19" s="99"/>
      <c r="I19" s="99"/>
    </row>
    <row r="20" spans="2:9" ht="15.75" customHeight="1">
      <c r="C20" s="99"/>
      <c r="D20" s="99"/>
      <c r="E20" s="99"/>
      <c r="F20" s="99"/>
      <c r="G20" s="99"/>
      <c r="H20" s="99"/>
      <c r="I20" s="99"/>
    </row>
    <row r="21" spans="2:9" ht="15.75" customHeight="1">
      <c r="C21" s="99"/>
      <c r="D21" s="99"/>
      <c r="E21" s="99"/>
      <c r="F21" s="99"/>
      <c r="G21" s="99"/>
      <c r="H21" s="99"/>
      <c r="I21" s="99"/>
    </row>
    <row r="22" spans="2:9" ht="15.75" customHeight="1">
      <c r="C22" s="99"/>
      <c r="D22" s="99"/>
      <c r="E22" s="99"/>
      <c r="F22" s="99"/>
      <c r="G22" s="99"/>
      <c r="H22" s="99"/>
      <c r="I22" s="99"/>
    </row>
    <row r="23" spans="2:9" ht="15.75" customHeight="1">
      <c r="C23" s="99"/>
      <c r="D23" s="99"/>
      <c r="E23" s="99"/>
      <c r="F23" s="99"/>
      <c r="G23" s="99"/>
      <c r="H23" s="99"/>
      <c r="I23" s="99"/>
    </row>
    <row r="24" spans="2:9" ht="15.75" customHeight="1">
      <c r="C24" s="99"/>
      <c r="D24" s="99"/>
      <c r="E24" s="99"/>
      <c r="F24" s="99"/>
      <c r="G24" s="99"/>
      <c r="H24" s="99"/>
      <c r="I24" s="99"/>
    </row>
    <row r="25" spans="2:9" ht="15.75" customHeight="1">
      <c r="C25" s="99"/>
      <c r="D25" s="99"/>
      <c r="E25" s="99"/>
      <c r="F25" s="99"/>
      <c r="G25" s="99"/>
      <c r="H25" s="99"/>
      <c r="I25" s="99"/>
    </row>
    <row r="26" spans="2:9" ht="15.75" customHeight="1">
      <c r="C26" s="99"/>
      <c r="D26" s="99"/>
      <c r="E26" s="99"/>
      <c r="F26" s="99"/>
      <c r="G26" s="99"/>
      <c r="H26" s="99"/>
      <c r="I26" s="99"/>
    </row>
    <row r="27" spans="2:9" ht="15.75" customHeight="1">
      <c r="C27" s="99"/>
      <c r="D27" s="99"/>
      <c r="E27" s="99"/>
      <c r="F27" s="99"/>
      <c r="G27" s="99"/>
      <c r="H27" s="99"/>
      <c r="I27" s="99"/>
    </row>
    <row r="28" spans="2:9" ht="15.75" customHeight="1">
      <c r="C28" s="99"/>
      <c r="D28" s="99"/>
      <c r="E28" s="99"/>
      <c r="F28" s="99"/>
      <c r="G28" s="99"/>
      <c r="H28" s="99"/>
      <c r="I28" s="99"/>
    </row>
    <row r="29" spans="2:9" ht="15.75" customHeight="1">
      <c r="C29" s="99"/>
      <c r="D29" s="99"/>
      <c r="E29" s="99"/>
      <c r="F29" s="99"/>
      <c r="G29" s="99"/>
      <c r="H29" s="99"/>
      <c r="I29" s="99"/>
    </row>
    <row r="30" spans="2:9" ht="15.75" customHeight="1">
      <c r="C30" s="99"/>
      <c r="D30" s="99"/>
      <c r="E30" s="99"/>
      <c r="F30" s="99"/>
      <c r="G30" s="99"/>
      <c r="H30" s="99"/>
      <c r="I30" s="99"/>
    </row>
    <row r="31" spans="2:9" ht="15.75" customHeight="1">
      <c r="C31" s="99"/>
      <c r="D31" s="99"/>
      <c r="E31" s="99"/>
      <c r="F31" s="99"/>
      <c r="G31" s="99"/>
      <c r="H31" s="99"/>
      <c r="I31" s="99"/>
    </row>
    <row r="32" spans="2:9" ht="15.75" customHeight="1">
      <c r="C32" s="99"/>
      <c r="D32" s="99"/>
      <c r="E32" s="99"/>
      <c r="F32" s="99"/>
      <c r="G32" s="99"/>
      <c r="H32" s="99"/>
      <c r="I32" s="99"/>
    </row>
    <row r="33" spans="3:9" ht="15.75" customHeight="1">
      <c r="C33" s="99"/>
      <c r="D33" s="99"/>
      <c r="E33" s="99"/>
      <c r="F33" s="99"/>
      <c r="G33" s="99"/>
      <c r="H33" s="99"/>
      <c r="I33" s="99"/>
    </row>
    <row r="34" spans="3:9" ht="15.75" customHeight="1">
      <c r="C34" s="99"/>
      <c r="D34" s="99"/>
      <c r="E34" s="99"/>
      <c r="F34" s="99"/>
      <c r="G34" s="99"/>
      <c r="H34" s="99"/>
      <c r="I34" s="99"/>
    </row>
    <row r="35" spans="3:9" ht="15.75" customHeight="1">
      <c r="C35" s="99"/>
      <c r="D35" s="99"/>
      <c r="E35" s="99"/>
      <c r="F35" s="99"/>
      <c r="G35" s="99"/>
      <c r="H35" s="99"/>
      <c r="I35" s="99"/>
    </row>
    <row r="36" spans="3:9" ht="15.75" customHeight="1">
      <c r="C36" s="99"/>
      <c r="D36" s="99"/>
      <c r="E36" s="99"/>
      <c r="F36" s="99"/>
      <c r="G36" s="99"/>
      <c r="H36" s="99"/>
      <c r="I36" s="99"/>
    </row>
    <row r="37" spans="3:9" ht="15.75" customHeight="1">
      <c r="C37" s="99"/>
      <c r="D37" s="99"/>
      <c r="E37" s="99"/>
      <c r="F37" s="99"/>
      <c r="G37" s="99"/>
      <c r="H37" s="99"/>
      <c r="I37" s="99"/>
    </row>
    <row r="38" spans="3:9" ht="15.75" customHeight="1">
      <c r="C38" s="99"/>
      <c r="D38" s="99"/>
      <c r="E38" s="99"/>
      <c r="F38" s="99"/>
      <c r="G38" s="99"/>
      <c r="H38" s="99"/>
      <c r="I38" s="99"/>
    </row>
    <row r="39" spans="3:9" ht="15.75" customHeight="1">
      <c r="C39" s="99"/>
      <c r="D39" s="99"/>
      <c r="E39" s="99"/>
      <c r="F39" s="99"/>
      <c r="G39" s="99"/>
      <c r="H39" s="99"/>
      <c r="I39" s="99"/>
    </row>
    <row r="40" spans="3:9" ht="15.75" customHeight="1">
      <c r="C40" s="99"/>
      <c r="D40" s="99"/>
      <c r="E40" s="99"/>
      <c r="F40" s="99"/>
      <c r="G40" s="99"/>
      <c r="H40" s="99"/>
      <c r="I40" s="99"/>
    </row>
    <row r="41" spans="3:9" ht="15.75" customHeight="1">
      <c r="C41" s="99"/>
      <c r="D41" s="99"/>
      <c r="E41" s="99"/>
      <c r="F41" s="99"/>
      <c r="G41" s="99"/>
      <c r="H41" s="99"/>
      <c r="I41" s="99"/>
    </row>
    <row r="42" spans="3:9" ht="15.75" customHeight="1">
      <c r="C42" s="99"/>
      <c r="D42" s="99"/>
      <c r="E42" s="99"/>
      <c r="F42" s="99"/>
      <c r="G42" s="99"/>
      <c r="H42" s="99"/>
      <c r="I42" s="99"/>
    </row>
    <row r="43" spans="3:9" ht="15.75" customHeight="1">
      <c r="C43" s="99"/>
      <c r="D43" s="99"/>
      <c r="E43" s="99"/>
      <c r="F43" s="99"/>
      <c r="G43" s="99"/>
      <c r="H43" s="99"/>
      <c r="I43" s="99"/>
    </row>
    <row r="44" spans="3:9" ht="15.75" customHeight="1">
      <c r="C44" s="99"/>
      <c r="D44" s="99"/>
      <c r="E44" s="99"/>
      <c r="F44" s="99"/>
      <c r="G44" s="99"/>
      <c r="H44" s="99"/>
      <c r="I44" s="99"/>
    </row>
    <row r="45" spans="3:9" ht="15.75" customHeight="1">
      <c r="C45" s="99"/>
      <c r="D45" s="99"/>
      <c r="E45" s="99"/>
      <c r="F45" s="99"/>
      <c r="G45" s="99"/>
      <c r="H45" s="99"/>
      <c r="I45" s="99"/>
    </row>
    <row r="46" spans="3:9" ht="15.75" customHeight="1">
      <c r="C46" s="99"/>
      <c r="D46" s="99"/>
      <c r="E46" s="99"/>
      <c r="F46" s="99"/>
      <c r="G46" s="99"/>
      <c r="H46" s="99"/>
      <c r="I46" s="99"/>
    </row>
    <row r="47" spans="3:9" ht="15.75" customHeight="1">
      <c r="C47" s="99"/>
      <c r="D47" s="99"/>
      <c r="E47" s="99"/>
      <c r="F47" s="99"/>
      <c r="G47" s="99"/>
      <c r="H47" s="99"/>
      <c r="I47" s="99"/>
    </row>
    <row r="48" spans="3:9" ht="15.75" customHeight="1">
      <c r="C48" s="99"/>
      <c r="D48" s="99"/>
      <c r="E48" s="99"/>
      <c r="F48" s="99"/>
      <c r="G48" s="99"/>
      <c r="H48" s="99"/>
      <c r="I48" s="99"/>
    </row>
    <row r="49" spans="3:9" ht="15.75" customHeight="1">
      <c r="C49" s="99"/>
      <c r="D49" s="99"/>
      <c r="E49" s="99"/>
      <c r="F49" s="99"/>
      <c r="G49" s="99"/>
      <c r="H49" s="99"/>
      <c r="I49" s="99"/>
    </row>
    <row r="50" spans="3:9" ht="15.75" customHeight="1">
      <c r="C50" s="99"/>
      <c r="D50" s="99"/>
      <c r="E50" s="99"/>
      <c r="F50" s="99"/>
      <c r="G50" s="99"/>
      <c r="H50" s="99"/>
      <c r="I50" s="99"/>
    </row>
    <row r="51" spans="3:9" ht="15.75" customHeight="1">
      <c r="C51" s="99"/>
      <c r="D51" s="99"/>
      <c r="E51" s="99"/>
      <c r="F51" s="99"/>
      <c r="G51" s="99"/>
      <c r="H51" s="99"/>
      <c r="I51" s="99"/>
    </row>
    <row r="52" spans="3:9" ht="15.75" customHeight="1">
      <c r="C52" s="99"/>
      <c r="D52" s="99"/>
      <c r="E52" s="99"/>
      <c r="F52" s="99"/>
      <c r="G52" s="99"/>
      <c r="H52" s="99"/>
      <c r="I52" s="99"/>
    </row>
    <row r="53" spans="3:9" ht="15.75" customHeight="1">
      <c r="C53" s="99"/>
      <c r="D53" s="99"/>
      <c r="E53" s="99"/>
      <c r="F53" s="99"/>
      <c r="G53" s="99"/>
      <c r="H53" s="99"/>
      <c r="I53" s="99"/>
    </row>
    <row r="54" spans="3:9" ht="15.75" customHeight="1">
      <c r="C54" s="99"/>
      <c r="D54" s="99"/>
      <c r="E54" s="99"/>
      <c r="F54" s="99"/>
      <c r="G54" s="99"/>
      <c r="H54" s="99"/>
      <c r="I54" s="99"/>
    </row>
    <row r="55" spans="3:9" ht="15.75" customHeight="1">
      <c r="C55" s="99"/>
      <c r="D55" s="99"/>
      <c r="E55" s="99"/>
      <c r="F55" s="99"/>
      <c r="G55" s="99"/>
      <c r="H55" s="99"/>
      <c r="I55" s="99"/>
    </row>
    <row r="56" spans="3:9" ht="15.75" customHeight="1">
      <c r="C56" s="99"/>
      <c r="D56" s="99"/>
      <c r="E56" s="99"/>
      <c r="F56" s="99"/>
      <c r="G56" s="99"/>
      <c r="H56" s="99"/>
      <c r="I56" s="99"/>
    </row>
    <row r="57" spans="3:9" ht="15.75" customHeight="1">
      <c r="C57" s="99"/>
      <c r="D57" s="99"/>
      <c r="E57" s="99"/>
      <c r="F57" s="99"/>
      <c r="G57" s="99"/>
      <c r="H57" s="99"/>
      <c r="I57" s="99"/>
    </row>
    <row r="58" spans="3:9" ht="15.75" customHeight="1">
      <c r="C58" s="99"/>
      <c r="D58" s="99"/>
      <c r="E58" s="99"/>
      <c r="F58" s="99"/>
      <c r="G58" s="99"/>
      <c r="H58" s="99"/>
      <c r="I58" s="99"/>
    </row>
    <row r="59" spans="3:9" ht="15.75" customHeight="1">
      <c r="C59" s="99"/>
      <c r="D59" s="99"/>
      <c r="E59" s="99"/>
      <c r="F59" s="99"/>
      <c r="G59" s="99"/>
      <c r="H59" s="99"/>
      <c r="I59" s="99"/>
    </row>
    <row r="60" spans="3:9" ht="15.75" customHeight="1">
      <c r="C60" s="99"/>
      <c r="D60" s="99"/>
      <c r="E60" s="99"/>
      <c r="F60" s="99"/>
      <c r="G60" s="99"/>
      <c r="H60" s="99"/>
      <c r="I60" s="99"/>
    </row>
    <row r="61" spans="3:9" ht="15.75" customHeight="1">
      <c r="C61" s="99"/>
      <c r="D61" s="99"/>
      <c r="E61" s="99"/>
      <c r="F61" s="99"/>
      <c r="G61" s="99"/>
      <c r="H61" s="99"/>
      <c r="I61" s="99"/>
    </row>
    <row r="62" spans="3:9" ht="15.75" customHeight="1">
      <c r="C62" s="99"/>
      <c r="D62" s="99"/>
      <c r="E62" s="99"/>
      <c r="F62" s="99"/>
      <c r="G62" s="99"/>
      <c r="H62" s="99"/>
      <c r="I62" s="99"/>
    </row>
    <row r="63" spans="3:9" ht="15.75" customHeight="1">
      <c r="C63" s="99"/>
      <c r="D63" s="99"/>
      <c r="E63" s="99"/>
      <c r="F63" s="99"/>
      <c r="G63" s="99"/>
      <c r="H63" s="99"/>
      <c r="I63" s="99"/>
    </row>
    <row r="64" spans="3:9" ht="15.75" customHeight="1">
      <c r="C64" s="99"/>
      <c r="D64" s="99"/>
      <c r="E64" s="99"/>
      <c r="F64" s="99"/>
      <c r="G64" s="99"/>
      <c r="H64" s="99"/>
      <c r="I64" s="99"/>
    </row>
    <row r="65" spans="3:9" ht="15.75" customHeight="1">
      <c r="C65" s="99"/>
      <c r="D65" s="99"/>
      <c r="E65" s="99"/>
      <c r="F65" s="99"/>
      <c r="G65" s="99"/>
      <c r="H65" s="99"/>
      <c r="I65" s="99"/>
    </row>
    <row r="66" spans="3:9" ht="15.75" customHeight="1">
      <c r="C66" s="99"/>
      <c r="D66" s="99"/>
      <c r="E66" s="99"/>
      <c r="F66" s="99"/>
      <c r="G66" s="99"/>
      <c r="H66" s="99"/>
      <c r="I66" s="99"/>
    </row>
    <row r="67" spans="3:9" ht="15.75" customHeight="1">
      <c r="C67" s="99"/>
      <c r="D67" s="99"/>
      <c r="E67" s="99"/>
      <c r="F67" s="99"/>
      <c r="G67" s="99"/>
      <c r="H67" s="99"/>
      <c r="I67" s="99"/>
    </row>
    <row r="68" spans="3:9" ht="15.75" customHeight="1">
      <c r="C68" s="99"/>
      <c r="D68" s="99"/>
      <c r="E68" s="99"/>
      <c r="F68" s="99"/>
      <c r="G68" s="99"/>
      <c r="H68" s="99"/>
      <c r="I68" s="99"/>
    </row>
    <row r="69" spans="3:9" ht="15.75" customHeight="1">
      <c r="C69" s="99"/>
      <c r="D69" s="99"/>
      <c r="E69" s="99"/>
      <c r="F69" s="99"/>
      <c r="G69" s="99"/>
      <c r="H69" s="99"/>
      <c r="I69" s="99"/>
    </row>
    <row r="70" spans="3:9" ht="15.75" customHeight="1">
      <c r="C70" s="99"/>
      <c r="D70" s="99"/>
      <c r="E70" s="99"/>
      <c r="F70" s="99"/>
      <c r="G70" s="99"/>
      <c r="H70" s="99"/>
      <c r="I70" s="99"/>
    </row>
    <row r="71" spans="3:9" ht="15.75" customHeight="1">
      <c r="C71" s="99"/>
      <c r="D71" s="99"/>
      <c r="E71" s="99"/>
      <c r="F71" s="99"/>
      <c r="G71" s="99"/>
      <c r="H71" s="99"/>
      <c r="I71" s="99"/>
    </row>
    <row r="72" spans="3:9" ht="15.75" customHeight="1">
      <c r="C72" s="99"/>
      <c r="D72" s="99"/>
      <c r="E72" s="99"/>
      <c r="F72" s="99"/>
      <c r="G72" s="99"/>
      <c r="H72" s="99"/>
      <c r="I72" s="99"/>
    </row>
    <row r="73" spans="3:9" ht="15.75" customHeight="1">
      <c r="C73" s="99"/>
      <c r="D73" s="99"/>
      <c r="E73" s="99"/>
      <c r="F73" s="99"/>
      <c r="G73" s="99"/>
      <c r="H73" s="99"/>
      <c r="I73" s="99"/>
    </row>
    <row r="74" spans="3:9" ht="15.75" customHeight="1">
      <c r="C74" s="99"/>
      <c r="D74" s="99"/>
      <c r="E74" s="99"/>
      <c r="F74" s="99"/>
      <c r="G74" s="99"/>
      <c r="H74" s="99"/>
      <c r="I74" s="99"/>
    </row>
    <row r="75" spans="3:9" ht="15.75" customHeight="1">
      <c r="C75" s="99"/>
      <c r="D75" s="99"/>
      <c r="E75" s="99"/>
      <c r="F75" s="99"/>
      <c r="G75" s="99"/>
      <c r="H75" s="99"/>
      <c r="I75" s="99"/>
    </row>
    <row r="76" spans="3:9" ht="15.75" customHeight="1">
      <c r="C76" s="99"/>
      <c r="D76" s="99"/>
      <c r="E76" s="99"/>
      <c r="F76" s="99"/>
      <c r="G76" s="99"/>
      <c r="H76" s="99"/>
      <c r="I76" s="99"/>
    </row>
    <row r="77" spans="3:9" ht="15.75" customHeight="1">
      <c r="C77" s="99"/>
      <c r="D77" s="99"/>
      <c r="E77" s="99"/>
      <c r="F77" s="99"/>
      <c r="G77" s="99"/>
      <c r="H77" s="99"/>
      <c r="I77" s="99"/>
    </row>
    <row r="78" spans="3:9" ht="15.75" customHeight="1">
      <c r="C78" s="99"/>
      <c r="D78" s="99"/>
      <c r="E78" s="99"/>
      <c r="F78" s="99"/>
      <c r="G78" s="99"/>
      <c r="H78" s="99"/>
      <c r="I78" s="99"/>
    </row>
    <row r="79" spans="3:9" ht="15.75" customHeight="1">
      <c r="C79" s="99"/>
      <c r="D79" s="99"/>
      <c r="E79" s="99"/>
      <c r="F79" s="99"/>
      <c r="G79" s="99"/>
      <c r="H79" s="99"/>
      <c r="I79" s="99"/>
    </row>
    <row r="80" spans="3:9" ht="15.75" customHeight="1">
      <c r="C80" s="99"/>
      <c r="D80" s="99"/>
      <c r="E80" s="99"/>
      <c r="F80" s="99"/>
      <c r="G80" s="99"/>
      <c r="H80" s="99"/>
      <c r="I80" s="99"/>
    </row>
    <row r="81" spans="3:9" ht="15.75" customHeight="1">
      <c r="C81" s="99"/>
      <c r="D81" s="99"/>
      <c r="E81" s="99"/>
      <c r="F81" s="99"/>
      <c r="G81" s="99"/>
      <c r="H81" s="99"/>
      <c r="I81" s="99"/>
    </row>
    <row r="82" spans="3:9" ht="15.75" customHeight="1">
      <c r="C82" s="99"/>
      <c r="D82" s="99"/>
      <c r="E82" s="99"/>
      <c r="F82" s="99"/>
      <c r="G82" s="99"/>
      <c r="H82" s="99"/>
      <c r="I82" s="99"/>
    </row>
    <row r="83" spans="3:9" ht="15.75" customHeight="1">
      <c r="C83" s="99"/>
      <c r="D83" s="99"/>
      <c r="E83" s="99"/>
      <c r="F83" s="99"/>
      <c r="G83" s="99"/>
      <c r="H83" s="99"/>
      <c r="I83" s="99"/>
    </row>
    <row r="84" spans="3:9" ht="15.75" customHeight="1">
      <c r="C84" s="99"/>
      <c r="D84" s="99"/>
      <c r="E84" s="99"/>
      <c r="F84" s="99"/>
      <c r="G84" s="99"/>
      <c r="H84" s="99"/>
      <c r="I84" s="99"/>
    </row>
    <row r="85" spans="3:9" ht="15.75" customHeight="1">
      <c r="C85" s="99"/>
      <c r="D85" s="99"/>
      <c r="E85" s="99"/>
      <c r="F85" s="99"/>
      <c r="G85" s="99"/>
      <c r="H85" s="99"/>
      <c r="I85" s="99"/>
    </row>
    <row r="86" spans="3:9" ht="15.75" customHeight="1">
      <c r="C86" s="99"/>
      <c r="D86" s="99"/>
      <c r="E86" s="99"/>
      <c r="F86" s="99"/>
      <c r="G86" s="99"/>
      <c r="H86" s="99"/>
      <c r="I86" s="99"/>
    </row>
    <row r="87" spans="3:9" ht="15.75" customHeight="1">
      <c r="C87" s="99"/>
      <c r="D87" s="99"/>
      <c r="E87" s="99"/>
      <c r="F87" s="99"/>
      <c r="G87" s="99"/>
      <c r="H87" s="99"/>
      <c r="I87" s="99"/>
    </row>
    <row r="88" spans="3:9" ht="15.75" customHeight="1">
      <c r="C88" s="99"/>
      <c r="D88" s="99"/>
      <c r="E88" s="99"/>
      <c r="F88" s="99"/>
      <c r="G88" s="99"/>
      <c r="H88" s="99"/>
      <c r="I88" s="99"/>
    </row>
    <row r="89" spans="3:9" ht="15.75" customHeight="1">
      <c r="C89" s="99"/>
      <c r="D89" s="99"/>
      <c r="E89" s="99"/>
      <c r="F89" s="99"/>
      <c r="G89" s="99"/>
      <c r="H89" s="99"/>
      <c r="I89" s="99"/>
    </row>
    <row r="90" spans="3:9" ht="15.75" customHeight="1">
      <c r="C90" s="99"/>
      <c r="D90" s="99"/>
      <c r="E90" s="99"/>
      <c r="F90" s="99"/>
      <c r="G90" s="99"/>
      <c r="H90" s="99"/>
      <c r="I90" s="99"/>
    </row>
    <row r="91" spans="3:9" ht="15.75" customHeight="1">
      <c r="C91" s="99"/>
      <c r="D91" s="99"/>
      <c r="E91" s="99"/>
      <c r="F91" s="99"/>
      <c r="G91" s="99"/>
      <c r="H91" s="99"/>
      <c r="I91" s="99"/>
    </row>
    <row r="92" spans="3:9" ht="15.75" customHeight="1">
      <c r="C92" s="99"/>
      <c r="D92" s="99"/>
      <c r="E92" s="99"/>
      <c r="F92" s="99"/>
      <c r="G92" s="99"/>
      <c r="H92" s="99"/>
      <c r="I92" s="99"/>
    </row>
    <row r="93" spans="3:9" ht="15.75" customHeight="1">
      <c r="C93" s="99"/>
      <c r="D93" s="99"/>
      <c r="E93" s="99"/>
      <c r="F93" s="99"/>
      <c r="G93" s="99"/>
      <c r="H93" s="99"/>
      <c r="I93" s="99"/>
    </row>
    <row r="94" spans="3:9" ht="15.75" customHeight="1">
      <c r="C94" s="99"/>
      <c r="D94" s="99"/>
      <c r="E94" s="99"/>
      <c r="F94" s="99"/>
      <c r="G94" s="99"/>
      <c r="H94" s="99"/>
      <c r="I94" s="99"/>
    </row>
    <row r="95" spans="3:9" ht="15.75" customHeight="1">
      <c r="C95" s="99"/>
      <c r="D95" s="99"/>
      <c r="E95" s="99"/>
      <c r="F95" s="99"/>
      <c r="G95" s="99"/>
      <c r="H95" s="99"/>
      <c r="I95" s="99"/>
    </row>
    <row r="96" spans="3:9" ht="15.75" customHeight="1">
      <c r="C96" s="99"/>
      <c r="D96" s="99"/>
      <c r="E96" s="99"/>
      <c r="F96" s="99"/>
      <c r="G96" s="99"/>
      <c r="H96" s="99"/>
      <c r="I96" s="99"/>
    </row>
    <row r="97" spans="3:9" ht="15.75" customHeight="1">
      <c r="C97" s="99"/>
      <c r="D97" s="99"/>
      <c r="E97" s="99"/>
      <c r="F97" s="99"/>
      <c r="G97" s="99"/>
      <c r="H97" s="99"/>
      <c r="I97" s="99"/>
    </row>
    <row r="98" spans="3:9" ht="15.75" customHeight="1">
      <c r="C98" s="99"/>
      <c r="D98" s="99"/>
      <c r="E98" s="99"/>
      <c r="F98" s="99"/>
      <c r="G98" s="99"/>
      <c r="H98" s="99"/>
      <c r="I98" s="99"/>
    </row>
    <row r="99" spans="3:9" ht="15.75" customHeight="1">
      <c r="C99" s="99"/>
      <c r="D99" s="99"/>
      <c r="E99" s="99"/>
      <c r="F99" s="99"/>
      <c r="G99" s="99"/>
      <c r="H99" s="99"/>
      <c r="I99" s="99"/>
    </row>
    <row r="100" spans="3:9" ht="15.75" customHeight="1">
      <c r="C100" s="99"/>
      <c r="D100" s="99"/>
      <c r="E100" s="99"/>
      <c r="F100" s="99"/>
      <c r="G100" s="99"/>
      <c r="H100" s="99"/>
      <c r="I100" s="99"/>
    </row>
    <row r="101" spans="3:9" ht="15.75" customHeight="1">
      <c r="C101" s="99"/>
      <c r="D101" s="99"/>
      <c r="E101" s="99"/>
      <c r="F101" s="99"/>
      <c r="G101" s="99"/>
      <c r="H101" s="99"/>
      <c r="I101" s="99"/>
    </row>
    <row r="102" spans="3:9" ht="15.75" customHeight="1">
      <c r="C102" s="99"/>
      <c r="D102" s="99"/>
      <c r="E102" s="99"/>
      <c r="F102" s="99"/>
      <c r="G102" s="99"/>
      <c r="H102" s="99"/>
      <c r="I102" s="99"/>
    </row>
    <row r="103" spans="3:9" ht="15.75" customHeight="1">
      <c r="C103" s="99"/>
      <c r="D103" s="99"/>
      <c r="E103" s="99"/>
      <c r="F103" s="99"/>
      <c r="G103" s="99"/>
      <c r="H103" s="99"/>
      <c r="I103" s="99"/>
    </row>
    <row r="104" spans="3:9" ht="15.75" customHeight="1">
      <c r="C104" s="99"/>
      <c r="D104" s="99"/>
      <c r="E104" s="99"/>
      <c r="F104" s="99"/>
      <c r="G104" s="99"/>
      <c r="H104" s="99"/>
      <c r="I104" s="99"/>
    </row>
    <row r="105" spans="3:9" ht="15.75" customHeight="1">
      <c r="C105" s="99"/>
      <c r="D105" s="99"/>
      <c r="E105" s="99"/>
      <c r="F105" s="99"/>
      <c r="G105" s="99"/>
      <c r="H105" s="99"/>
      <c r="I105" s="99"/>
    </row>
    <row r="106" spans="3:9" ht="15.75" customHeight="1">
      <c r="C106" s="99"/>
      <c r="D106" s="99"/>
      <c r="E106" s="99"/>
      <c r="F106" s="99"/>
      <c r="G106" s="99"/>
      <c r="H106" s="99"/>
      <c r="I106" s="99"/>
    </row>
    <row r="107" spans="3:9" ht="15.75" customHeight="1">
      <c r="C107" s="99"/>
      <c r="D107" s="99"/>
      <c r="E107" s="99"/>
      <c r="F107" s="99"/>
      <c r="G107" s="99"/>
      <c r="H107" s="99"/>
      <c r="I107" s="99"/>
    </row>
    <row r="108" spans="3:9" ht="15.75" customHeight="1">
      <c r="C108" s="99"/>
      <c r="D108" s="99"/>
      <c r="E108" s="99"/>
      <c r="F108" s="99"/>
      <c r="G108" s="99"/>
      <c r="H108" s="99"/>
      <c r="I108" s="99"/>
    </row>
    <row r="109" spans="3:9" ht="15.75" customHeight="1">
      <c r="C109" s="99"/>
      <c r="D109" s="99"/>
      <c r="E109" s="99"/>
      <c r="F109" s="99"/>
      <c r="G109" s="99"/>
      <c r="H109" s="99"/>
      <c r="I109" s="99"/>
    </row>
    <row r="110" spans="3:9" ht="15.75" customHeight="1">
      <c r="C110" s="99"/>
      <c r="D110" s="99"/>
      <c r="E110" s="99"/>
      <c r="F110" s="99"/>
      <c r="G110" s="99"/>
      <c r="H110" s="99"/>
      <c r="I110" s="99"/>
    </row>
    <row r="111" spans="3:9" ht="15.75" customHeight="1">
      <c r="C111" s="99"/>
      <c r="D111" s="99"/>
      <c r="E111" s="99"/>
      <c r="F111" s="99"/>
      <c r="G111" s="99"/>
      <c r="H111" s="99"/>
      <c r="I111" s="99"/>
    </row>
    <row r="112" spans="3:9" ht="15.75" customHeight="1">
      <c r="C112" s="99"/>
      <c r="D112" s="99"/>
      <c r="E112" s="99"/>
      <c r="F112" s="99"/>
      <c r="G112" s="99"/>
      <c r="H112" s="99"/>
      <c r="I112" s="99"/>
    </row>
    <row r="113" spans="3:9" ht="15.75" customHeight="1">
      <c r="C113" s="99"/>
      <c r="D113" s="99"/>
      <c r="E113" s="99"/>
      <c r="F113" s="99"/>
      <c r="G113" s="99"/>
      <c r="H113" s="99"/>
      <c r="I113" s="99"/>
    </row>
    <row r="114" spans="3:9" ht="15.75" customHeight="1">
      <c r="C114" s="99"/>
      <c r="D114" s="99"/>
      <c r="E114" s="99"/>
      <c r="F114" s="99"/>
      <c r="G114" s="99"/>
      <c r="H114" s="99"/>
      <c r="I114" s="99"/>
    </row>
    <row r="115" spans="3:9" ht="15.75" customHeight="1">
      <c r="C115" s="99"/>
      <c r="D115" s="99"/>
      <c r="E115" s="99"/>
      <c r="F115" s="99"/>
      <c r="G115" s="99"/>
      <c r="H115" s="99"/>
      <c r="I115" s="99"/>
    </row>
    <row r="116" spans="3:9" ht="15.75" customHeight="1">
      <c r="C116" s="99"/>
      <c r="D116" s="99"/>
      <c r="E116" s="99"/>
      <c r="F116" s="99"/>
      <c r="G116" s="99"/>
      <c r="H116" s="99"/>
      <c r="I116" s="99"/>
    </row>
    <row r="117" spans="3:9" ht="15.75" customHeight="1">
      <c r="C117" s="99"/>
      <c r="D117" s="99"/>
      <c r="E117" s="99"/>
      <c r="F117" s="99"/>
      <c r="G117" s="99"/>
      <c r="H117" s="99"/>
      <c r="I117" s="99"/>
    </row>
    <row r="118" spans="3:9" ht="15.75" customHeight="1">
      <c r="C118" s="99"/>
      <c r="D118" s="99"/>
      <c r="E118" s="99"/>
      <c r="F118" s="99"/>
      <c r="G118" s="99"/>
      <c r="H118" s="99"/>
      <c r="I118" s="99"/>
    </row>
    <row r="119" spans="3:9" ht="15.75" customHeight="1">
      <c r="C119" s="99"/>
      <c r="D119" s="99"/>
      <c r="E119" s="99"/>
      <c r="F119" s="99"/>
      <c r="G119" s="99"/>
      <c r="H119" s="99"/>
      <c r="I119" s="99"/>
    </row>
    <row r="120" spans="3:9" ht="15.75" customHeight="1">
      <c r="C120" s="99"/>
      <c r="D120" s="99"/>
      <c r="E120" s="99"/>
      <c r="F120" s="99"/>
      <c r="G120" s="99"/>
      <c r="H120" s="99"/>
      <c r="I120" s="99"/>
    </row>
    <row r="121" spans="3:9" ht="15.75" customHeight="1">
      <c r="C121" s="99"/>
      <c r="D121" s="99"/>
      <c r="E121" s="99"/>
      <c r="F121" s="99"/>
      <c r="G121" s="99"/>
      <c r="H121" s="99"/>
      <c r="I121" s="99"/>
    </row>
    <row r="122" spans="3:9" ht="15.75" customHeight="1">
      <c r="C122" s="99"/>
      <c r="D122" s="99"/>
      <c r="E122" s="99"/>
      <c r="F122" s="99"/>
      <c r="G122" s="99"/>
      <c r="H122" s="99"/>
      <c r="I122" s="99"/>
    </row>
    <row r="123" spans="3:9" ht="15.75" customHeight="1">
      <c r="C123" s="99"/>
      <c r="D123" s="99"/>
      <c r="E123" s="99"/>
      <c r="F123" s="99"/>
      <c r="G123" s="99"/>
      <c r="H123" s="99"/>
      <c r="I123" s="99"/>
    </row>
    <row r="124" spans="3:9" ht="15.75" customHeight="1">
      <c r="C124" s="99"/>
      <c r="D124" s="99"/>
      <c r="E124" s="99"/>
      <c r="F124" s="99"/>
      <c r="G124" s="99"/>
      <c r="H124" s="99"/>
      <c r="I124" s="99"/>
    </row>
    <row r="125" spans="3:9" ht="15.75" customHeight="1">
      <c r="C125" s="99"/>
      <c r="D125" s="99"/>
      <c r="E125" s="99"/>
      <c r="F125" s="99"/>
      <c r="G125" s="99"/>
      <c r="H125" s="99"/>
      <c r="I125" s="99"/>
    </row>
    <row r="126" spans="3:9" ht="15.75" customHeight="1">
      <c r="C126" s="99"/>
      <c r="D126" s="99"/>
      <c r="E126" s="99"/>
      <c r="F126" s="99"/>
      <c r="G126" s="99"/>
      <c r="H126" s="99"/>
      <c r="I126" s="99"/>
    </row>
    <row r="127" spans="3:9" ht="15.75" customHeight="1">
      <c r="C127" s="99"/>
      <c r="D127" s="99"/>
      <c r="E127" s="99"/>
      <c r="F127" s="99"/>
      <c r="G127" s="99"/>
      <c r="H127" s="99"/>
      <c r="I127" s="99"/>
    </row>
    <row r="128" spans="3:9" ht="15.75" customHeight="1">
      <c r="C128" s="99"/>
      <c r="D128" s="99"/>
      <c r="E128" s="99"/>
      <c r="F128" s="99"/>
      <c r="G128" s="99"/>
      <c r="H128" s="99"/>
      <c r="I128" s="99"/>
    </row>
    <row r="129" spans="3:9" ht="15.75" customHeight="1">
      <c r="C129" s="99"/>
      <c r="D129" s="99"/>
      <c r="E129" s="99"/>
      <c r="F129" s="99"/>
      <c r="G129" s="99"/>
      <c r="H129" s="99"/>
      <c r="I129" s="99"/>
    </row>
    <row r="130" spans="3:9" ht="15.75" customHeight="1">
      <c r="C130" s="99"/>
      <c r="D130" s="99"/>
      <c r="E130" s="99"/>
      <c r="F130" s="99"/>
      <c r="G130" s="99"/>
      <c r="H130" s="99"/>
      <c r="I130" s="99"/>
    </row>
    <row r="131" spans="3:9" ht="15.75" customHeight="1">
      <c r="C131" s="99"/>
      <c r="D131" s="99"/>
      <c r="E131" s="99"/>
      <c r="F131" s="99"/>
      <c r="G131" s="99"/>
      <c r="H131" s="99"/>
      <c r="I131" s="99"/>
    </row>
    <row r="132" spans="3:9" ht="15.75" customHeight="1">
      <c r="C132" s="99"/>
      <c r="D132" s="99"/>
      <c r="E132" s="99"/>
      <c r="F132" s="99"/>
      <c r="G132" s="99"/>
      <c r="H132" s="99"/>
      <c r="I132" s="99"/>
    </row>
    <row r="133" spans="3:9" ht="15.75" customHeight="1">
      <c r="C133" s="99"/>
      <c r="D133" s="99"/>
      <c r="E133" s="99"/>
      <c r="F133" s="99"/>
      <c r="G133" s="99"/>
      <c r="H133" s="99"/>
      <c r="I133" s="99"/>
    </row>
    <row r="134" spans="3:9" ht="15.75" customHeight="1">
      <c r="C134" s="99"/>
      <c r="D134" s="99"/>
      <c r="E134" s="99"/>
      <c r="F134" s="99"/>
      <c r="G134" s="99"/>
      <c r="H134" s="99"/>
      <c r="I134" s="99"/>
    </row>
    <row r="135" spans="3:9" ht="15.75" customHeight="1">
      <c r="C135" s="99"/>
      <c r="D135" s="99"/>
      <c r="E135" s="99"/>
      <c r="F135" s="99"/>
      <c r="G135" s="99"/>
      <c r="H135" s="99"/>
      <c r="I135" s="99"/>
    </row>
    <row r="136" spans="3:9" ht="15.75" customHeight="1">
      <c r="C136" s="99"/>
      <c r="D136" s="99"/>
      <c r="E136" s="99"/>
      <c r="F136" s="99"/>
      <c r="G136" s="99"/>
      <c r="H136" s="99"/>
      <c r="I136" s="99"/>
    </row>
    <row r="137" spans="3:9" ht="15.75" customHeight="1">
      <c r="C137" s="99"/>
      <c r="D137" s="99"/>
      <c r="E137" s="99"/>
      <c r="F137" s="99"/>
      <c r="G137" s="99"/>
      <c r="H137" s="99"/>
      <c r="I137" s="99"/>
    </row>
    <row r="138" spans="3:9" ht="15.75" customHeight="1">
      <c r="C138" s="99"/>
      <c r="D138" s="99"/>
      <c r="E138" s="99"/>
      <c r="F138" s="99"/>
      <c r="G138" s="99"/>
      <c r="H138" s="99"/>
      <c r="I138" s="99"/>
    </row>
    <row r="139" spans="3:9" ht="15.75" customHeight="1">
      <c r="C139" s="99"/>
      <c r="D139" s="99"/>
      <c r="E139" s="99"/>
      <c r="F139" s="99"/>
      <c r="G139" s="99"/>
      <c r="H139" s="99"/>
      <c r="I139" s="99"/>
    </row>
    <row r="140" spans="3:9" ht="15.75" customHeight="1">
      <c r="C140" s="99"/>
      <c r="D140" s="99"/>
      <c r="E140" s="99"/>
      <c r="F140" s="99"/>
      <c r="G140" s="99"/>
      <c r="H140" s="99"/>
      <c r="I140" s="99"/>
    </row>
    <row r="141" spans="3:9" ht="15.75" customHeight="1">
      <c r="C141" s="99"/>
      <c r="D141" s="99"/>
      <c r="E141" s="99"/>
      <c r="F141" s="99"/>
      <c r="G141" s="99"/>
      <c r="H141" s="99"/>
      <c r="I141" s="99"/>
    </row>
    <row r="142" spans="3:9" ht="15.75" customHeight="1">
      <c r="C142" s="99"/>
      <c r="D142" s="99"/>
      <c r="E142" s="99"/>
      <c r="F142" s="99"/>
      <c r="G142" s="99"/>
      <c r="H142" s="99"/>
      <c r="I142" s="99"/>
    </row>
    <row r="143" spans="3:9" ht="15.75" customHeight="1">
      <c r="C143" s="99"/>
      <c r="D143" s="99"/>
      <c r="E143" s="99"/>
      <c r="F143" s="99"/>
      <c r="G143" s="99"/>
      <c r="H143" s="99"/>
      <c r="I143" s="99"/>
    </row>
    <row r="144" spans="3:9" ht="15.75" customHeight="1">
      <c r="C144" s="99"/>
      <c r="D144" s="99"/>
      <c r="E144" s="99"/>
      <c r="F144" s="99"/>
      <c r="G144" s="99"/>
      <c r="H144" s="99"/>
      <c r="I144" s="99"/>
    </row>
    <row r="145" spans="3:9" ht="15.75" customHeight="1">
      <c r="C145" s="99"/>
      <c r="D145" s="99"/>
      <c r="E145" s="99"/>
      <c r="F145" s="99"/>
      <c r="G145" s="99"/>
      <c r="H145" s="99"/>
      <c r="I145" s="99"/>
    </row>
    <row r="146" spans="3:9" ht="15.75" customHeight="1">
      <c r="C146" s="99"/>
      <c r="D146" s="99"/>
      <c r="E146" s="99"/>
      <c r="F146" s="99"/>
      <c r="G146" s="99"/>
      <c r="H146" s="99"/>
      <c r="I146" s="99"/>
    </row>
    <row r="147" spans="3:9" ht="15.75" customHeight="1">
      <c r="C147" s="99"/>
      <c r="D147" s="99"/>
      <c r="E147" s="99"/>
      <c r="F147" s="99"/>
      <c r="G147" s="99"/>
      <c r="H147" s="99"/>
      <c r="I147" s="99"/>
    </row>
    <row r="148" spans="3:9" ht="15.75" customHeight="1">
      <c r="C148" s="99"/>
      <c r="D148" s="99"/>
      <c r="E148" s="99"/>
      <c r="F148" s="99"/>
      <c r="G148" s="99"/>
      <c r="H148" s="99"/>
      <c r="I148" s="99"/>
    </row>
    <row r="149" spans="3:9" ht="15.75" customHeight="1">
      <c r="C149" s="99"/>
      <c r="D149" s="99"/>
      <c r="E149" s="99"/>
      <c r="F149" s="99"/>
      <c r="G149" s="99"/>
      <c r="H149" s="99"/>
      <c r="I149" s="99"/>
    </row>
    <row r="150" spans="3:9" ht="15.75" customHeight="1">
      <c r="C150" s="99"/>
      <c r="D150" s="99"/>
      <c r="E150" s="99"/>
      <c r="F150" s="99"/>
      <c r="G150" s="99"/>
      <c r="H150" s="99"/>
      <c r="I150" s="99"/>
    </row>
    <row r="151" spans="3:9" ht="15.75" customHeight="1">
      <c r="C151" s="99"/>
      <c r="D151" s="99"/>
      <c r="E151" s="99"/>
      <c r="F151" s="99"/>
      <c r="G151" s="99"/>
      <c r="H151" s="99"/>
      <c r="I151" s="99"/>
    </row>
    <row r="152" spans="3:9" ht="15.75" customHeight="1">
      <c r="C152" s="99"/>
      <c r="D152" s="99"/>
      <c r="E152" s="99"/>
      <c r="F152" s="99"/>
      <c r="G152" s="99"/>
      <c r="H152" s="99"/>
      <c r="I152" s="99"/>
    </row>
    <row r="153" spans="3:9" ht="15.75" customHeight="1">
      <c r="C153" s="99"/>
      <c r="D153" s="99"/>
      <c r="E153" s="99"/>
      <c r="F153" s="99"/>
      <c r="G153" s="99"/>
      <c r="H153" s="99"/>
      <c r="I153" s="99"/>
    </row>
    <row r="154" spans="3:9" ht="15.75" customHeight="1">
      <c r="C154" s="99"/>
      <c r="D154" s="99"/>
      <c r="E154" s="99"/>
      <c r="F154" s="99"/>
      <c r="G154" s="99"/>
      <c r="H154" s="99"/>
      <c r="I154" s="99"/>
    </row>
    <row r="155" spans="3:9" ht="15.75" customHeight="1">
      <c r="C155" s="99"/>
      <c r="D155" s="99"/>
      <c r="E155" s="99"/>
      <c r="F155" s="99"/>
      <c r="G155" s="99"/>
      <c r="H155" s="99"/>
      <c r="I155" s="99"/>
    </row>
    <row r="156" spans="3:9" ht="15.75" customHeight="1">
      <c r="C156" s="99"/>
      <c r="D156" s="99"/>
      <c r="E156" s="99"/>
      <c r="F156" s="99"/>
      <c r="G156" s="99"/>
      <c r="H156" s="99"/>
      <c r="I156" s="99"/>
    </row>
    <row r="157" spans="3:9" ht="15.75" customHeight="1">
      <c r="C157" s="99"/>
      <c r="D157" s="99"/>
      <c r="E157" s="99"/>
      <c r="F157" s="99"/>
      <c r="G157" s="99"/>
      <c r="H157" s="99"/>
      <c r="I157" s="99"/>
    </row>
    <row r="158" spans="3:9" ht="15.75" customHeight="1">
      <c r="C158" s="99"/>
      <c r="D158" s="99"/>
      <c r="E158" s="99"/>
      <c r="F158" s="99"/>
      <c r="G158" s="99"/>
      <c r="H158" s="99"/>
      <c r="I158" s="99"/>
    </row>
    <row r="159" spans="3:9" ht="15.75" customHeight="1">
      <c r="C159" s="99"/>
      <c r="D159" s="99"/>
      <c r="E159" s="99"/>
      <c r="F159" s="99"/>
      <c r="G159" s="99"/>
      <c r="H159" s="99"/>
      <c r="I159" s="99"/>
    </row>
    <row r="160" spans="3:9" ht="15.75" customHeight="1">
      <c r="C160" s="99"/>
      <c r="D160" s="99"/>
      <c r="E160" s="99"/>
      <c r="F160" s="99"/>
      <c r="G160" s="99"/>
      <c r="H160" s="99"/>
      <c r="I160" s="99"/>
    </row>
    <row r="161" spans="3:9" ht="15.75" customHeight="1">
      <c r="C161" s="99"/>
      <c r="D161" s="99"/>
      <c r="E161" s="99"/>
      <c r="F161" s="99"/>
      <c r="G161" s="99"/>
      <c r="H161" s="99"/>
      <c r="I161" s="99"/>
    </row>
    <row r="162" spans="3:9" ht="15.75" customHeight="1">
      <c r="C162" s="99"/>
      <c r="D162" s="99"/>
      <c r="E162" s="99"/>
      <c r="F162" s="99"/>
      <c r="G162" s="99"/>
      <c r="H162" s="99"/>
      <c r="I162" s="99"/>
    </row>
    <row r="163" spans="3:9" ht="15.75" customHeight="1">
      <c r="C163" s="99"/>
      <c r="D163" s="99"/>
      <c r="E163" s="99"/>
      <c r="F163" s="99"/>
      <c r="G163" s="99"/>
      <c r="H163" s="99"/>
      <c r="I163" s="99"/>
    </row>
    <row r="164" spans="3:9" ht="15.75" customHeight="1">
      <c r="C164" s="99"/>
      <c r="D164" s="99"/>
      <c r="E164" s="99"/>
      <c r="F164" s="99"/>
      <c r="G164" s="99"/>
      <c r="H164" s="99"/>
      <c r="I164" s="99"/>
    </row>
    <row r="165" spans="3:9" ht="15.75" customHeight="1">
      <c r="C165" s="99"/>
      <c r="D165" s="99"/>
      <c r="E165" s="99"/>
      <c r="F165" s="99"/>
      <c r="G165" s="99"/>
      <c r="H165" s="99"/>
      <c r="I165" s="99"/>
    </row>
    <row r="166" spans="3:9" ht="15.75" customHeight="1">
      <c r="C166" s="99"/>
      <c r="D166" s="99"/>
      <c r="E166" s="99"/>
      <c r="F166" s="99"/>
      <c r="G166" s="99"/>
      <c r="H166" s="99"/>
      <c r="I166" s="99"/>
    </row>
    <row r="167" spans="3:9" ht="15.75" customHeight="1">
      <c r="C167" s="99"/>
      <c r="D167" s="99"/>
      <c r="E167" s="99"/>
      <c r="F167" s="99"/>
      <c r="G167" s="99"/>
      <c r="H167" s="99"/>
      <c r="I167" s="99"/>
    </row>
    <row r="168" spans="3:9" ht="15.75" customHeight="1">
      <c r="C168" s="99"/>
      <c r="D168" s="99"/>
      <c r="E168" s="99"/>
      <c r="F168" s="99"/>
      <c r="G168" s="99"/>
      <c r="H168" s="99"/>
      <c r="I168" s="99"/>
    </row>
    <row r="169" spans="3:9" ht="15.75" customHeight="1">
      <c r="C169" s="99"/>
      <c r="D169" s="99"/>
      <c r="E169" s="99"/>
      <c r="F169" s="99"/>
      <c r="G169" s="99"/>
      <c r="H169" s="99"/>
      <c r="I169" s="99"/>
    </row>
    <row r="170" spans="3:9" ht="15.75" customHeight="1">
      <c r="C170" s="99"/>
      <c r="D170" s="99"/>
      <c r="E170" s="99"/>
      <c r="F170" s="99"/>
      <c r="G170" s="99"/>
      <c r="H170" s="99"/>
      <c r="I170" s="99"/>
    </row>
    <row r="171" spans="3:9" ht="15.75" customHeight="1">
      <c r="C171" s="99"/>
      <c r="D171" s="99"/>
      <c r="E171" s="99"/>
      <c r="F171" s="99"/>
      <c r="G171" s="99"/>
      <c r="H171" s="99"/>
      <c r="I171" s="99"/>
    </row>
    <row r="172" spans="3:9" ht="15.75" customHeight="1">
      <c r="C172" s="99"/>
      <c r="D172" s="99"/>
      <c r="E172" s="99"/>
      <c r="F172" s="99"/>
      <c r="G172" s="99"/>
      <c r="H172" s="99"/>
      <c r="I172" s="99"/>
    </row>
    <row r="173" spans="3:9" ht="15.75" customHeight="1">
      <c r="C173" s="99"/>
      <c r="D173" s="99"/>
      <c r="E173" s="99"/>
      <c r="F173" s="99"/>
      <c r="G173" s="99"/>
      <c r="H173" s="99"/>
      <c r="I173" s="99"/>
    </row>
    <row r="174" spans="3:9" ht="15.75" customHeight="1">
      <c r="C174" s="99"/>
      <c r="D174" s="99"/>
      <c r="E174" s="99"/>
      <c r="F174" s="99"/>
      <c r="G174" s="99"/>
      <c r="H174" s="99"/>
      <c r="I174" s="99"/>
    </row>
    <row r="175" spans="3:9" ht="15.75" customHeight="1">
      <c r="C175" s="99"/>
      <c r="D175" s="99"/>
      <c r="E175" s="99"/>
      <c r="F175" s="99"/>
      <c r="G175" s="99"/>
      <c r="H175" s="99"/>
      <c r="I175" s="99"/>
    </row>
    <row r="176" spans="3:9" ht="15.75" customHeight="1">
      <c r="C176" s="99"/>
      <c r="D176" s="99"/>
      <c r="E176" s="99"/>
      <c r="F176" s="99"/>
      <c r="G176" s="99"/>
      <c r="H176" s="99"/>
      <c r="I176" s="99"/>
    </row>
    <row r="177" spans="3:9" ht="15.75" customHeight="1">
      <c r="C177" s="99"/>
      <c r="D177" s="99"/>
      <c r="E177" s="99"/>
      <c r="F177" s="99"/>
      <c r="G177" s="99"/>
      <c r="H177" s="99"/>
      <c r="I177" s="99"/>
    </row>
    <row r="178" spans="3:9" ht="15.75" customHeight="1">
      <c r="C178" s="99"/>
      <c r="D178" s="99"/>
      <c r="E178" s="99"/>
      <c r="F178" s="99"/>
      <c r="G178" s="99"/>
      <c r="H178" s="99"/>
      <c r="I178" s="99"/>
    </row>
    <row r="179" spans="3:9" ht="15.75" customHeight="1">
      <c r="C179" s="99"/>
      <c r="D179" s="99"/>
      <c r="E179" s="99"/>
      <c r="F179" s="99"/>
      <c r="G179" s="99"/>
      <c r="H179" s="99"/>
      <c r="I179" s="99"/>
    </row>
    <row r="180" spans="3:9" ht="15.75" customHeight="1">
      <c r="C180" s="99"/>
      <c r="D180" s="99"/>
      <c r="E180" s="99"/>
      <c r="F180" s="99"/>
      <c r="G180" s="99"/>
      <c r="H180" s="99"/>
      <c r="I180" s="99"/>
    </row>
    <row r="181" spans="3:9" ht="15.75" customHeight="1">
      <c r="C181" s="99"/>
      <c r="D181" s="99"/>
      <c r="E181" s="99"/>
      <c r="F181" s="99"/>
      <c r="G181" s="99"/>
      <c r="H181" s="99"/>
      <c r="I181" s="99"/>
    </row>
    <row r="182" spans="3:9" ht="15.75" customHeight="1">
      <c r="C182" s="99"/>
      <c r="D182" s="99"/>
      <c r="E182" s="99"/>
      <c r="F182" s="99"/>
      <c r="G182" s="99"/>
      <c r="H182" s="99"/>
      <c r="I182" s="99"/>
    </row>
    <row r="183" spans="3:9" ht="15.75" customHeight="1">
      <c r="C183" s="99"/>
      <c r="D183" s="99"/>
      <c r="E183" s="99"/>
      <c r="F183" s="99"/>
      <c r="G183" s="99"/>
      <c r="H183" s="99"/>
      <c r="I183" s="99"/>
    </row>
    <row r="184" spans="3:9" ht="15.75" customHeight="1">
      <c r="C184" s="99"/>
      <c r="D184" s="99"/>
      <c r="E184" s="99"/>
      <c r="F184" s="99"/>
      <c r="G184" s="99"/>
      <c r="H184" s="99"/>
      <c r="I184" s="99"/>
    </row>
    <row r="185" spans="3:9" ht="15.75" customHeight="1">
      <c r="C185" s="99"/>
      <c r="D185" s="99"/>
      <c r="E185" s="99"/>
      <c r="F185" s="99"/>
      <c r="G185" s="99"/>
      <c r="H185" s="99"/>
      <c r="I185" s="99"/>
    </row>
    <row r="186" spans="3:9" ht="15.75" customHeight="1">
      <c r="C186" s="99"/>
      <c r="D186" s="99"/>
      <c r="E186" s="99"/>
      <c r="F186" s="99"/>
      <c r="G186" s="99"/>
      <c r="H186" s="99"/>
      <c r="I186" s="99"/>
    </row>
    <row r="187" spans="3:9" ht="15.75" customHeight="1">
      <c r="C187" s="99"/>
      <c r="D187" s="99"/>
      <c r="E187" s="99"/>
      <c r="F187" s="99"/>
      <c r="G187" s="99"/>
      <c r="H187" s="99"/>
      <c r="I187" s="99"/>
    </row>
    <row r="188" spans="3:9" ht="15.75" customHeight="1">
      <c r="C188" s="99"/>
      <c r="D188" s="99"/>
      <c r="E188" s="99"/>
      <c r="F188" s="99"/>
      <c r="G188" s="99"/>
      <c r="H188" s="99"/>
      <c r="I188" s="99"/>
    </row>
    <row r="189" spans="3:9" ht="15.75" customHeight="1">
      <c r="C189" s="99"/>
      <c r="D189" s="99"/>
      <c r="E189" s="99"/>
      <c r="F189" s="99"/>
      <c r="G189" s="99"/>
      <c r="H189" s="99"/>
      <c r="I189" s="99"/>
    </row>
    <row r="190" spans="3:9" ht="15.75" customHeight="1">
      <c r="C190" s="99"/>
      <c r="D190" s="99"/>
      <c r="E190" s="99"/>
      <c r="F190" s="99"/>
      <c r="G190" s="99"/>
      <c r="H190" s="99"/>
      <c r="I190" s="99"/>
    </row>
    <row r="191" spans="3:9" ht="15.75" customHeight="1">
      <c r="C191" s="99"/>
      <c r="D191" s="99"/>
      <c r="E191" s="99"/>
      <c r="F191" s="99"/>
      <c r="G191" s="99"/>
      <c r="H191" s="99"/>
      <c r="I191" s="99"/>
    </row>
    <row r="192" spans="3:9" ht="15.75" customHeight="1">
      <c r="C192" s="99"/>
      <c r="D192" s="99"/>
      <c r="E192" s="99"/>
      <c r="F192" s="99"/>
      <c r="G192" s="99"/>
      <c r="H192" s="99"/>
      <c r="I192" s="99"/>
    </row>
    <row r="193" spans="3:9" ht="15.75" customHeight="1">
      <c r="C193" s="99"/>
      <c r="D193" s="99"/>
      <c r="E193" s="99"/>
      <c r="F193" s="99"/>
      <c r="G193" s="99"/>
      <c r="H193" s="99"/>
      <c r="I193" s="99"/>
    </row>
    <row r="194" spans="3:9" ht="15.75" customHeight="1">
      <c r="C194" s="99"/>
      <c r="D194" s="99"/>
      <c r="E194" s="99"/>
      <c r="F194" s="99"/>
      <c r="G194" s="99"/>
      <c r="H194" s="99"/>
      <c r="I194" s="99"/>
    </row>
    <row r="195" spans="3:9" ht="15.75" customHeight="1">
      <c r="C195" s="99"/>
      <c r="D195" s="99"/>
      <c r="E195" s="99"/>
      <c r="F195" s="99"/>
      <c r="G195" s="99"/>
      <c r="H195" s="99"/>
      <c r="I195" s="99"/>
    </row>
    <row r="196" spans="3:9" ht="15.75" customHeight="1">
      <c r="C196" s="99"/>
      <c r="D196" s="99"/>
      <c r="E196" s="99"/>
      <c r="F196" s="99"/>
      <c r="G196" s="99"/>
      <c r="H196" s="99"/>
      <c r="I196" s="99"/>
    </row>
    <row r="197" spans="3:9" ht="15.75" customHeight="1">
      <c r="C197" s="99"/>
      <c r="D197" s="99"/>
      <c r="E197" s="99"/>
      <c r="F197" s="99"/>
      <c r="G197" s="99"/>
      <c r="H197" s="99"/>
      <c r="I197" s="99"/>
    </row>
    <row r="198" spans="3:9" ht="15.75" customHeight="1">
      <c r="C198" s="99"/>
      <c r="D198" s="99"/>
      <c r="E198" s="99"/>
      <c r="F198" s="99"/>
      <c r="G198" s="99"/>
      <c r="H198" s="99"/>
      <c r="I198" s="99"/>
    </row>
    <row r="199" spans="3:9" ht="15.75" customHeight="1">
      <c r="C199" s="99"/>
      <c r="D199" s="99"/>
      <c r="E199" s="99"/>
      <c r="F199" s="99"/>
      <c r="G199" s="99"/>
      <c r="H199" s="99"/>
      <c r="I199" s="99"/>
    </row>
    <row r="200" spans="3:9" ht="15.75" customHeight="1">
      <c r="C200" s="99"/>
      <c r="D200" s="99"/>
      <c r="E200" s="99"/>
      <c r="F200" s="99"/>
      <c r="G200" s="99"/>
      <c r="H200" s="99"/>
      <c r="I200" s="99"/>
    </row>
    <row r="201" spans="3:9" ht="15.75" customHeight="1">
      <c r="C201" s="99"/>
      <c r="D201" s="99"/>
      <c r="E201" s="99"/>
      <c r="F201" s="99"/>
      <c r="G201" s="99"/>
      <c r="H201" s="99"/>
      <c r="I201" s="99"/>
    </row>
    <row r="202" spans="3:9" ht="15.75" customHeight="1">
      <c r="C202" s="99"/>
      <c r="D202" s="99"/>
      <c r="E202" s="99"/>
      <c r="F202" s="99"/>
      <c r="G202" s="99"/>
      <c r="H202" s="99"/>
      <c r="I202" s="99"/>
    </row>
    <row r="203" spans="3:9" ht="15.75" customHeight="1">
      <c r="C203" s="99"/>
      <c r="D203" s="99"/>
      <c r="E203" s="99"/>
      <c r="F203" s="99"/>
      <c r="G203" s="99"/>
      <c r="H203" s="99"/>
      <c r="I203" s="99"/>
    </row>
    <row r="204" spans="3:9" ht="15.75" customHeight="1">
      <c r="C204" s="99"/>
      <c r="D204" s="99"/>
      <c r="E204" s="99"/>
      <c r="F204" s="99"/>
      <c r="G204" s="99"/>
      <c r="H204" s="99"/>
      <c r="I204" s="99"/>
    </row>
    <row r="205" spans="3:9" ht="15.75" customHeight="1">
      <c r="C205" s="99"/>
      <c r="D205" s="99"/>
      <c r="E205" s="99"/>
      <c r="F205" s="99"/>
      <c r="G205" s="99"/>
      <c r="H205" s="99"/>
      <c r="I205" s="99"/>
    </row>
    <row r="206" spans="3:9" ht="15.75" customHeight="1">
      <c r="C206" s="99"/>
      <c r="D206" s="99"/>
      <c r="E206" s="99"/>
      <c r="F206" s="99"/>
      <c r="G206" s="99"/>
      <c r="H206" s="99"/>
      <c r="I206" s="99"/>
    </row>
    <row r="207" spans="3:9" ht="15.75" customHeight="1">
      <c r="C207" s="99"/>
      <c r="D207" s="99"/>
      <c r="E207" s="99"/>
      <c r="F207" s="99"/>
      <c r="G207" s="99"/>
      <c r="H207" s="99"/>
      <c r="I207" s="99"/>
    </row>
    <row r="208" spans="3:9" ht="15.75" customHeight="1">
      <c r="C208" s="99"/>
      <c r="D208" s="99"/>
      <c r="E208" s="99"/>
      <c r="F208" s="99"/>
      <c r="G208" s="99"/>
      <c r="H208" s="99"/>
      <c r="I208" s="99"/>
    </row>
    <row r="209" spans="3:9" ht="15.75" customHeight="1">
      <c r="C209" s="99"/>
      <c r="D209" s="99"/>
      <c r="E209" s="99"/>
      <c r="F209" s="99"/>
      <c r="G209" s="99"/>
      <c r="H209" s="99"/>
      <c r="I209" s="99"/>
    </row>
    <row r="210" spans="3:9" ht="15.75" customHeight="1">
      <c r="C210" s="99"/>
      <c r="D210" s="99"/>
      <c r="E210" s="99"/>
      <c r="F210" s="99"/>
      <c r="G210" s="99"/>
      <c r="H210" s="99"/>
      <c r="I210" s="99"/>
    </row>
    <row r="211" spans="3:9" ht="15.75" customHeight="1">
      <c r="C211" s="99"/>
      <c r="D211" s="99"/>
      <c r="E211" s="99"/>
      <c r="F211" s="99"/>
      <c r="G211" s="99"/>
      <c r="H211" s="99"/>
      <c r="I211" s="99"/>
    </row>
    <row r="212" spans="3:9" ht="15.75" customHeight="1">
      <c r="C212" s="99"/>
      <c r="D212" s="99"/>
      <c r="E212" s="99"/>
      <c r="F212" s="99"/>
      <c r="G212" s="99"/>
      <c r="H212" s="99"/>
      <c r="I212" s="99"/>
    </row>
    <row r="213" spans="3:9" ht="15.75" customHeight="1">
      <c r="C213" s="99"/>
      <c r="D213" s="99"/>
      <c r="E213" s="99"/>
      <c r="F213" s="99"/>
      <c r="G213" s="99"/>
      <c r="H213" s="99"/>
      <c r="I213" s="99"/>
    </row>
    <row r="214" spans="3:9" ht="15.75" customHeight="1">
      <c r="C214" s="99"/>
      <c r="D214" s="99"/>
      <c r="E214" s="99"/>
      <c r="F214" s="99"/>
      <c r="G214" s="99"/>
      <c r="H214" s="99"/>
      <c r="I214" s="99"/>
    </row>
    <row r="215" spans="3:9" ht="15.75" customHeight="1">
      <c r="C215" s="99"/>
      <c r="D215" s="99"/>
      <c r="E215" s="99"/>
      <c r="F215" s="99"/>
      <c r="G215" s="99"/>
      <c r="H215" s="99"/>
      <c r="I215" s="99"/>
    </row>
    <row r="216" spans="3:9" ht="15.75" customHeight="1">
      <c r="C216" s="99"/>
      <c r="D216" s="99"/>
      <c r="E216" s="99"/>
      <c r="F216" s="99"/>
      <c r="G216" s="99"/>
      <c r="H216" s="99"/>
      <c r="I216" s="99"/>
    </row>
    <row r="217" spans="3:9" ht="15.75" customHeight="1">
      <c r="C217" s="99"/>
      <c r="D217" s="99"/>
      <c r="E217" s="99"/>
      <c r="F217" s="99"/>
      <c r="G217" s="99"/>
      <c r="H217" s="99"/>
      <c r="I217" s="99"/>
    </row>
    <row r="218" spans="3:9" ht="15.75" customHeight="1">
      <c r="C218" s="99"/>
      <c r="D218" s="99"/>
      <c r="E218" s="99"/>
      <c r="F218" s="99"/>
      <c r="G218" s="99"/>
      <c r="H218" s="99"/>
      <c r="I218" s="99"/>
    </row>
    <row r="219" spans="3:9" ht="15.75" customHeight="1"/>
    <row r="220" spans="3:9" ht="15.75" customHeight="1"/>
    <row r="221" spans="3:9" ht="15.75" customHeight="1"/>
    <row r="222" spans="3:9" ht="15.75" customHeight="1"/>
    <row r="223" spans="3:9" ht="15.75" customHeight="1"/>
    <row r="224" spans="3:9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">
    <mergeCell ref="A1:I1"/>
    <mergeCell ref="B9:C9"/>
    <mergeCell ref="B10:C10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917"/>
  <sheetViews>
    <sheetView tabSelected="1" workbookViewId="0">
      <selection activeCell="G30" sqref="G30"/>
    </sheetView>
  </sheetViews>
  <sheetFormatPr defaultColWidth="14.42578125" defaultRowHeight="15" customHeight="1"/>
  <cols>
    <col min="1" max="1" width="31.140625" customWidth="1"/>
    <col min="2" max="5" width="14.42578125" customWidth="1"/>
    <col min="6" max="6" width="17.85546875" customWidth="1"/>
    <col min="9" max="9" width="23.5703125" customWidth="1"/>
  </cols>
  <sheetData>
    <row r="1" spans="1:14" ht="15" customHeight="1">
      <c r="A1" s="169" t="s">
        <v>137</v>
      </c>
      <c r="B1" s="149"/>
      <c r="C1" s="149"/>
      <c r="D1" s="149"/>
      <c r="E1" s="149"/>
      <c r="F1" s="170"/>
      <c r="G1" s="104"/>
      <c r="H1" s="105" t="s">
        <v>138</v>
      </c>
      <c r="I1" s="105" t="s">
        <v>139</v>
      </c>
      <c r="J1" s="105" t="s">
        <v>140</v>
      </c>
      <c r="K1" s="105" t="s">
        <v>141</v>
      </c>
      <c r="L1" s="104"/>
      <c r="M1" s="104"/>
      <c r="N1" s="104"/>
    </row>
    <row r="2" spans="1:14">
      <c r="A2" s="171"/>
      <c r="B2" s="171"/>
      <c r="C2" s="171"/>
      <c r="D2" s="171"/>
      <c r="E2" s="171"/>
      <c r="F2" s="172"/>
      <c r="G2" s="104"/>
      <c r="H2" s="106">
        <v>15</v>
      </c>
      <c r="I2" s="106">
        <v>20</v>
      </c>
      <c r="J2" s="106">
        <v>35</v>
      </c>
      <c r="K2" s="106">
        <v>30</v>
      </c>
      <c r="L2" s="104"/>
      <c r="M2" s="104"/>
      <c r="N2" s="104"/>
    </row>
    <row r="3" spans="1:14" ht="15" customHeight="1">
      <c r="A3" s="173" t="s">
        <v>142</v>
      </c>
      <c r="B3" s="171"/>
      <c r="C3" s="171"/>
      <c r="D3" s="171"/>
      <c r="E3" s="171"/>
      <c r="F3" s="172"/>
      <c r="G3" s="104"/>
      <c r="H3" s="174" t="s">
        <v>143</v>
      </c>
      <c r="I3" s="149"/>
      <c r="J3" s="149"/>
      <c r="K3" s="149"/>
      <c r="L3" s="149"/>
      <c r="M3" s="149"/>
      <c r="N3" s="149"/>
    </row>
    <row r="4" spans="1:14" ht="36.75">
      <c r="A4" s="107" t="s">
        <v>144</v>
      </c>
      <c r="B4" s="108" t="s">
        <v>145</v>
      </c>
      <c r="C4" s="108" t="s">
        <v>146</v>
      </c>
      <c r="D4" s="108" t="s">
        <v>147</v>
      </c>
      <c r="E4" s="109" t="s">
        <v>148</v>
      </c>
      <c r="F4" s="110" t="s">
        <v>149</v>
      </c>
      <c r="G4" s="104"/>
      <c r="H4" s="111" t="s">
        <v>150</v>
      </c>
      <c r="I4" s="111" t="s">
        <v>151</v>
      </c>
      <c r="J4" s="111" t="s">
        <v>146</v>
      </c>
      <c r="K4" s="112" t="s">
        <v>152</v>
      </c>
      <c r="L4" s="111" t="s">
        <v>153</v>
      </c>
      <c r="M4" s="113" t="s">
        <v>154</v>
      </c>
      <c r="N4" s="114" t="s">
        <v>155</v>
      </c>
    </row>
    <row r="5" spans="1:14">
      <c r="A5" s="115" t="s">
        <v>156</v>
      </c>
      <c r="B5" s="116"/>
      <c r="C5" s="116"/>
      <c r="D5" s="116"/>
      <c r="E5" s="117"/>
      <c r="F5" s="117"/>
      <c r="G5" s="104"/>
      <c r="H5" s="118"/>
      <c r="I5" s="119" t="s">
        <v>157</v>
      </c>
      <c r="J5" s="119">
        <f>C12</f>
        <v>0.91199999999999992</v>
      </c>
      <c r="K5" s="120">
        <f>J5/H9</f>
        <v>7.5999999999999998E-2</v>
      </c>
      <c r="L5" s="121">
        <f t="shared" ref="L5:L11" si="0">ROUND(K5,0)</f>
        <v>0</v>
      </c>
      <c r="M5" s="122">
        <v>6</v>
      </c>
      <c r="N5" s="123">
        <f t="shared" ref="N5:N11" si="1">M5-L5</f>
        <v>6</v>
      </c>
    </row>
    <row r="6" spans="1:14">
      <c r="A6" s="124" t="s">
        <v>158</v>
      </c>
      <c r="B6" s="125">
        <v>1.6</v>
      </c>
      <c r="C6" s="125">
        <f t="shared" ref="C6:C19" si="2">$H$6*B6/100</f>
        <v>0.38400000000000006</v>
      </c>
      <c r="D6" s="126" t="s">
        <v>159</v>
      </c>
      <c r="E6" s="127">
        <v>21950000</v>
      </c>
      <c r="F6" s="128">
        <f t="shared" ref="F6:F10" si="3">C6*E6</f>
        <v>8428800.0000000019</v>
      </c>
      <c r="G6" s="129" t="s">
        <v>160</v>
      </c>
      <c r="H6" s="130">
        <v>24</v>
      </c>
      <c r="I6" s="119" t="s">
        <v>161</v>
      </c>
      <c r="J6" s="119">
        <f>C6</f>
        <v>0.38400000000000006</v>
      </c>
      <c r="K6" s="120">
        <f>J6/H9</f>
        <v>3.2000000000000008E-2</v>
      </c>
      <c r="L6" s="121">
        <f t="shared" si="0"/>
        <v>0</v>
      </c>
      <c r="M6" s="122">
        <v>8</v>
      </c>
      <c r="N6" s="123">
        <f t="shared" si="1"/>
        <v>8</v>
      </c>
    </row>
    <row r="7" spans="1:14">
      <c r="A7" s="124" t="s">
        <v>162</v>
      </c>
      <c r="B7" s="125">
        <v>7.5</v>
      </c>
      <c r="C7" s="125">
        <f t="shared" si="2"/>
        <v>1.8</v>
      </c>
      <c r="D7" s="126" t="s">
        <v>163</v>
      </c>
      <c r="E7" s="127">
        <v>21950000</v>
      </c>
      <c r="F7" s="128">
        <f t="shared" si="3"/>
        <v>39510000</v>
      </c>
      <c r="G7" s="119" t="s">
        <v>164</v>
      </c>
      <c r="H7" s="104"/>
      <c r="I7" s="119" t="s">
        <v>165</v>
      </c>
      <c r="J7" s="119">
        <f>SUM(C7:C8,C10,C13)</f>
        <v>5.5920000000000005</v>
      </c>
      <c r="K7" s="120">
        <f>J7/H9</f>
        <v>0.46600000000000003</v>
      </c>
      <c r="L7" s="121">
        <f t="shared" si="0"/>
        <v>0</v>
      </c>
      <c r="M7" s="122">
        <v>19</v>
      </c>
      <c r="N7" s="123">
        <f t="shared" si="1"/>
        <v>19</v>
      </c>
    </row>
    <row r="8" spans="1:14">
      <c r="A8" s="124" t="s">
        <v>166</v>
      </c>
      <c r="B8" s="125">
        <v>6</v>
      </c>
      <c r="C8" s="125">
        <f t="shared" si="2"/>
        <v>1.44</v>
      </c>
      <c r="D8" s="126" t="s">
        <v>163</v>
      </c>
      <c r="E8" s="127">
        <v>21950000</v>
      </c>
      <c r="F8" s="128">
        <f t="shared" si="3"/>
        <v>31608000</v>
      </c>
      <c r="G8" s="119" t="s">
        <v>164</v>
      </c>
      <c r="H8" s="111" t="s">
        <v>167</v>
      </c>
      <c r="I8" s="119" t="s">
        <v>168</v>
      </c>
      <c r="J8" s="119">
        <f>C9</f>
        <v>12.48</v>
      </c>
      <c r="K8" s="120">
        <f>J8/H9</f>
        <v>1.04</v>
      </c>
      <c r="L8" s="121">
        <f t="shared" si="0"/>
        <v>1</v>
      </c>
      <c r="M8" s="122">
        <v>28</v>
      </c>
      <c r="N8" s="123">
        <f t="shared" si="1"/>
        <v>27</v>
      </c>
    </row>
    <row r="9" spans="1:14">
      <c r="A9" s="124" t="s">
        <v>169</v>
      </c>
      <c r="B9" s="125">
        <v>52</v>
      </c>
      <c r="C9" s="125">
        <f t="shared" si="2"/>
        <v>12.48</v>
      </c>
      <c r="D9" s="126" t="s">
        <v>170</v>
      </c>
      <c r="E9" s="127">
        <v>21950000</v>
      </c>
      <c r="F9" s="128">
        <f t="shared" si="3"/>
        <v>273936000</v>
      </c>
      <c r="G9" s="119" t="s">
        <v>171</v>
      </c>
      <c r="H9" s="131">
        <v>12</v>
      </c>
      <c r="I9" s="119" t="s">
        <v>172</v>
      </c>
      <c r="J9" s="119">
        <f>SUM(C17,C19)</f>
        <v>2.16</v>
      </c>
      <c r="K9" s="120">
        <f>J9/H9</f>
        <v>0.18000000000000002</v>
      </c>
      <c r="L9" s="121">
        <f t="shared" si="0"/>
        <v>0</v>
      </c>
      <c r="M9" s="122">
        <v>8</v>
      </c>
      <c r="N9" s="123">
        <f t="shared" si="1"/>
        <v>8</v>
      </c>
    </row>
    <row r="10" spans="1:14">
      <c r="A10" s="132" t="s">
        <v>173</v>
      </c>
      <c r="B10" s="125">
        <v>5.5</v>
      </c>
      <c r="C10" s="125">
        <f t="shared" si="2"/>
        <v>1.32</v>
      </c>
      <c r="D10" s="126" t="s">
        <v>163</v>
      </c>
      <c r="E10" s="127">
        <v>21950000</v>
      </c>
      <c r="F10" s="128">
        <f t="shared" si="3"/>
        <v>28974000</v>
      </c>
      <c r="G10" s="119" t="s">
        <v>164</v>
      </c>
      <c r="H10" s="104"/>
      <c r="I10" s="119" t="s">
        <v>174</v>
      </c>
      <c r="J10" s="119">
        <f>SUM(C18)</f>
        <v>0.21600000000000003</v>
      </c>
      <c r="K10" s="120">
        <f>J10/H9</f>
        <v>1.8000000000000002E-2</v>
      </c>
      <c r="L10" s="121">
        <f t="shared" si="0"/>
        <v>0</v>
      </c>
      <c r="M10" s="122">
        <v>3</v>
      </c>
      <c r="N10" s="123">
        <f t="shared" si="1"/>
        <v>3</v>
      </c>
    </row>
    <row r="11" spans="1:14">
      <c r="A11" s="115" t="s">
        <v>175</v>
      </c>
      <c r="B11" s="116"/>
      <c r="C11" s="125">
        <f t="shared" si="2"/>
        <v>0</v>
      </c>
      <c r="D11" s="116"/>
      <c r="E11" s="117"/>
      <c r="F11" s="117"/>
      <c r="G11" s="104"/>
      <c r="H11" s="104"/>
      <c r="I11" s="119" t="s">
        <v>176</v>
      </c>
      <c r="J11" s="119">
        <f>SUM(C14:C15)</f>
        <v>2.2560000000000002</v>
      </c>
      <c r="K11" s="120">
        <f>J11/H9</f>
        <v>0.18800000000000003</v>
      </c>
      <c r="L11" s="121">
        <f t="shared" si="0"/>
        <v>0</v>
      </c>
      <c r="M11" s="122">
        <v>0</v>
      </c>
      <c r="N11" s="123">
        <f t="shared" si="1"/>
        <v>0</v>
      </c>
    </row>
    <row r="12" spans="1:14">
      <c r="A12" s="124" t="s">
        <v>177</v>
      </c>
      <c r="B12" s="125">
        <v>3.8</v>
      </c>
      <c r="C12" s="125">
        <f t="shared" si="2"/>
        <v>0.91199999999999992</v>
      </c>
      <c r="D12" s="126" t="s">
        <v>178</v>
      </c>
      <c r="E12" s="127">
        <v>28150000</v>
      </c>
      <c r="F12" s="128">
        <f t="shared" ref="F12:F15" si="4">C12*E12</f>
        <v>25672799.999999996</v>
      </c>
      <c r="G12" s="119" t="s">
        <v>179</v>
      </c>
      <c r="H12" s="104"/>
      <c r="I12" s="133"/>
      <c r="J12" s="134">
        <f>SUM(J5:J11)</f>
        <v>24.000000000000004</v>
      </c>
      <c r="K12" s="133"/>
      <c r="L12" s="134">
        <f t="shared" ref="L12:N12" si="5">SUM(L5:L11)</f>
        <v>1</v>
      </c>
      <c r="M12" s="134">
        <f t="shared" si="5"/>
        <v>72</v>
      </c>
      <c r="N12" s="135">
        <f t="shared" si="5"/>
        <v>71</v>
      </c>
    </row>
    <row r="13" spans="1:14">
      <c r="A13" s="132" t="s">
        <v>180</v>
      </c>
      <c r="B13" s="125">
        <v>4.3</v>
      </c>
      <c r="C13" s="125">
        <f t="shared" si="2"/>
        <v>1.0319999999999998</v>
      </c>
      <c r="D13" s="126" t="s">
        <v>163</v>
      </c>
      <c r="E13" s="127">
        <v>25050000</v>
      </c>
      <c r="F13" s="128">
        <f t="shared" si="4"/>
        <v>25851599.999999996</v>
      </c>
      <c r="G13" s="119" t="s">
        <v>164</v>
      </c>
      <c r="H13" s="104"/>
      <c r="I13" s="104"/>
      <c r="J13" s="104"/>
      <c r="K13" s="104"/>
      <c r="L13" s="104"/>
      <c r="M13" s="104"/>
      <c r="N13" s="104"/>
    </row>
    <row r="14" spans="1:14">
      <c r="A14" s="132" t="s">
        <v>181</v>
      </c>
      <c r="B14" s="125">
        <v>8.4</v>
      </c>
      <c r="C14" s="125">
        <f t="shared" si="2"/>
        <v>2.016</v>
      </c>
      <c r="D14" s="126" t="s">
        <v>182</v>
      </c>
      <c r="E14" s="127">
        <v>13950000</v>
      </c>
      <c r="F14" s="128">
        <f t="shared" si="4"/>
        <v>28123200</v>
      </c>
      <c r="G14" s="119" t="s">
        <v>183</v>
      </c>
      <c r="H14" s="104"/>
      <c r="I14" s="165" t="s">
        <v>184</v>
      </c>
      <c r="J14" s="149"/>
      <c r="K14" s="149"/>
      <c r="L14" s="104"/>
      <c r="M14" s="104"/>
      <c r="N14" s="104"/>
    </row>
    <row r="15" spans="1:14">
      <c r="A15" s="132" t="s">
        <v>185</v>
      </c>
      <c r="B15" s="125">
        <v>1</v>
      </c>
      <c r="C15" s="125">
        <f t="shared" si="2"/>
        <v>0.24</v>
      </c>
      <c r="D15" s="126" t="s">
        <v>182</v>
      </c>
      <c r="E15" s="127">
        <v>13950000</v>
      </c>
      <c r="F15" s="128">
        <f t="shared" si="4"/>
        <v>3348000</v>
      </c>
      <c r="G15" s="119" t="s">
        <v>183</v>
      </c>
      <c r="H15" s="104"/>
      <c r="I15" s="136" t="s">
        <v>151</v>
      </c>
      <c r="J15" s="136" t="s">
        <v>186</v>
      </c>
      <c r="K15" s="136" t="s">
        <v>187</v>
      </c>
      <c r="L15" s="104"/>
      <c r="M15" s="104"/>
      <c r="N15" s="104"/>
    </row>
    <row r="16" spans="1:14">
      <c r="A16" s="115" t="s">
        <v>188</v>
      </c>
      <c r="B16" s="116"/>
      <c r="C16" s="125">
        <f t="shared" si="2"/>
        <v>0</v>
      </c>
      <c r="D16" s="116"/>
      <c r="E16" s="117"/>
      <c r="F16" s="117"/>
      <c r="G16" s="104"/>
      <c r="H16" s="104"/>
      <c r="I16" s="119" t="s">
        <v>157</v>
      </c>
      <c r="J16" s="137" t="s">
        <v>189</v>
      </c>
      <c r="K16" s="134">
        <v>0.125</v>
      </c>
      <c r="L16" s="104"/>
      <c r="M16" s="104"/>
      <c r="N16" s="104"/>
    </row>
    <row r="17" spans="1:14">
      <c r="A17" s="132" t="s">
        <v>190</v>
      </c>
      <c r="B17" s="125">
        <v>7</v>
      </c>
      <c r="C17" s="125">
        <f t="shared" si="2"/>
        <v>1.68</v>
      </c>
      <c r="D17" s="126" t="s">
        <v>191</v>
      </c>
      <c r="E17" s="127">
        <v>13950000</v>
      </c>
      <c r="F17" s="128">
        <f t="shared" ref="F17:F19" si="6">C17*E17</f>
        <v>23436000</v>
      </c>
      <c r="G17" s="119" t="s">
        <v>192</v>
      </c>
      <c r="H17" s="104"/>
      <c r="I17" s="119" t="s">
        <v>161</v>
      </c>
      <c r="J17" s="137" t="s">
        <v>193</v>
      </c>
      <c r="K17" s="134">
        <v>0.17499999999999999</v>
      </c>
      <c r="L17" s="104"/>
      <c r="M17" s="104"/>
      <c r="N17" s="104"/>
    </row>
    <row r="18" spans="1:14">
      <c r="A18" s="132" t="s">
        <v>194</v>
      </c>
      <c r="B18" s="125">
        <v>0.9</v>
      </c>
      <c r="C18" s="125">
        <f t="shared" si="2"/>
        <v>0.21600000000000003</v>
      </c>
      <c r="D18" s="126" t="s">
        <v>191</v>
      </c>
      <c r="E18" s="127">
        <v>13950000</v>
      </c>
      <c r="F18" s="128">
        <f t="shared" si="6"/>
        <v>3013200.0000000005</v>
      </c>
      <c r="G18" s="119" t="s">
        <v>195</v>
      </c>
      <c r="H18" s="104"/>
      <c r="I18" s="119" t="s">
        <v>165</v>
      </c>
      <c r="J18" s="137" t="s">
        <v>196</v>
      </c>
      <c r="K18" s="134">
        <v>0.25</v>
      </c>
      <c r="L18" s="104"/>
      <c r="M18" s="104"/>
      <c r="N18" s="104"/>
    </row>
    <row r="19" spans="1:14">
      <c r="A19" s="132" t="s">
        <v>197</v>
      </c>
      <c r="B19" s="125">
        <v>2</v>
      </c>
      <c r="C19" s="125">
        <f t="shared" si="2"/>
        <v>0.48</v>
      </c>
      <c r="D19" s="126" t="s">
        <v>191</v>
      </c>
      <c r="E19" s="127">
        <v>13950000</v>
      </c>
      <c r="F19" s="128">
        <f t="shared" si="6"/>
        <v>6696000</v>
      </c>
      <c r="G19" s="119" t="s">
        <v>192</v>
      </c>
      <c r="H19" s="104"/>
      <c r="I19" s="119" t="s">
        <v>168</v>
      </c>
      <c r="J19" s="137" t="s">
        <v>198</v>
      </c>
      <c r="K19" s="134">
        <v>0.3</v>
      </c>
      <c r="L19" s="104"/>
      <c r="M19" s="104"/>
      <c r="N19" s="104"/>
    </row>
    <row r="20" spans="1:14" ht="15" customHeight="1">
      <c r="A20" s="138" t="s">
        <v>199</v>
      </c>
      <c r="B20" s="139">
        <f>SUM(B6:B10)+SUM(B12:B15)+SUM(B17:B19)</f>
        <v>100</v>
      </c>
      <c r="C20" s="140">
        <f>SUM(C6:C10,C12:C15,C17:C19)</f>
        <v>24</v>
      </c>
      <c r="D20" s="116"/>
      <c r="E20" s="117"/>
      <c r="F20" s="141">
        <f>SUM(F6:F19)</f>
        <v>498597600</v>
      </c>
      <c r="G20" s="104"/>
      <c r="H20" s="142">
        <f>F20-I53</f>
        <v>498597600</v>
      </c>
      <c r="I20" s="119" t="s">
        <v>172</v>
      </c>
      <c r="J20" s="137" t="s">
        <v>200</v>
      </c>
      <c r="K20" s="134">
        <v>0.17499999999999999</v>
      </c>
      <c r="L20" s="104"/>
      <c r="M20" s="119">
        <f>H6/10</f>
        <v>2.4</v>
      </c>
      <c r="N20" s="104"/>
    </row>
    <row r="21" spans="1:14" ht="15" customHeight="1">
      <c r="A21" s="175" t="s">
        <v>201</v>
      </c>
      <c r="B21" s="171"/>
      <c r="C21" s="171"/>
      <c r="D21" s="171"/>
      <c r="E21" s="172"/>
      <c r="F21" s="141">
        <f>25%*F20</f>
        <v>124649400</v>
      </c>
      <c r="G21" s="104"/>
      <c r="H21" s="104"/>
      <c r="I21" s="119" t="s">
        <v>174</v>
      </c>
      <c r="J21" s="137" t="s">
        <v>200</v>
      </c>
      <c r="K21" s="134">
        <v>0.17499999999999999</v>
      </c>
      <c r="L21" s="104"/>
      <c r="M21" s="104"/>
      <c r="N21" s="104"/>
    </row>
    <row r="22" spans="1:14" ht="15.75" customHeight="1">
      <c r="A22" s="175" t="s">
        <v>202</v>
      </c>
      <c r="B22" s="171"/>
      <c r="C22" s="171"/>
      <c r="D22" s="171"/>
      <c r="E22" s="172"/>
      <c r="F22" s="141">
        <f>F20+F21</f>
        <v>623247000</v>
      </c>
      <c r="G22" s="104"/>
      <c r="H22" s="104"/>
      <c r="I22" s="119" t="s">
        <v>176</v>
      </c>
      <c r="J22" s="137" t="s">
        <v>189</v>
      </c>
      <c r="K22" s="134">
        <v>0.125</v>
      </c>
      <c r="L22" s="104"/>
      <c r="M22" s="104"/>
      <c r="N22" s="104"/>
    </row>
    <row r="23" spans="1:14" ht="15.75" customHeight="1">
      <c r="A23" s="175" t="s">
        <v>203</v>
      </c>
      <c r="B23" s="171"/>
      <c r="C23" s="171"/>
      <c r="D23" s="171"/>
      <c r="E23" s="172"/>
      <c r="F23" s="141">
        <f>F22*11%</f>
        <v>68557170</v>
      </c>
      <c r="G23" s="104"/>
      <c r="H23" s="104"/>
      <c r="I23" s="104"/>
      <c r="J23" s="104"/>
      <c r="K23" s="104"/>
      <c r="L23" s="104"/>
      <c r="M23" s="104"/>
      <c r="N23" s="104"/>
    </row>
    <row r="24" spans="1:14" ht="15.75" customHeight="1">
      <c r="A24" s="176" t="s">
        <v>125</v>
      </c>
      <c r="B24" s="171"/>
      <c r="C24" s="171"/>
      <c r="D24" s="171"/>
      <c r="E24" s="172"/>
      <c r="F24" s="143">
        <f>F22+F23</f>
        <v>691804170</v>
      </c>
      <c r="G24" s="104"/>
      <c r="H24" s="104"/>
      <c r="I24" s="104"/>
      <c r="J24" s="104"/>
      <c r="K24" s="133"/>
      <c r="L24" s="133"/>
      <c r="M24" s="133"/>
      <c r="N24" s="133"/>
    </row>
    <row r="25" spans="1:14" ht="15.75" customHeight="1">
      <c r="A25" s="104"/>
      <c r="B25" s="104"/>
      <c r="C25" s="104"/>
      <c r="D25" s="104"/>
      <c r="E25" s="144"/>
      <c r="F25" s="104"/>
      <c r="G25" s="104"/>
      <c r="H25" s="104"/>
      <c r="I25" s="133"/>
      <c r="J25" s="133"/>
      <c r="K25" s="133"/>
      <c r="L25" s="104"/>
      <c r="M25" s="104"/>
      <c r="N25" s="104"/>
    </row>
    <row r="26" spans="1:14" ht="15.75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</row>
    <row r="27" spans="1:14" ht="15.75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</row>
    <row r="28" spans="1:14" ht="15.75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</row>
    <row r="29" spans="1:14" ht="15.75" customHeight="1"/>
    <row r="30" spans="1:14" ht="15.75" customHeight="1"/>
    <row r="31" spans="1:14" ht="15.75" customHeight="1"/>
    <row r="32" spans="1:14" ht="15.75" customHeight="1">
      <c r="I32" s="145" t="s">
        <v>144</v>
      </c>
      <c r="J32" s="145" t="s">
        <v>145</v>
      </c>
      <c r="K32" s="145" t="s">
        <v>147</v>
      </c>
    </row>
    <row r="33" spans="9:11" ht="15.75" customHeight="1">
      <c r="I33" s="166" t="s">
        <v>156</v>
      </c>
      <c r="J33" s="167"/>
      <c r="K33" s="168"/>
    </row>
    <row r="34" spans="9:11" ht="15.75" customHeight="1">
      <c r="I34" s="146" t="s">
        <v>158</v>
      </c>
      <c r="J34" s="147">
        <v>1.6</v>
      </c>
      <c r="K34" s="146" t="s">
        <v>159</v>
      </c>
    </row>
    <row r="35" spans="9:11" ht="15.75" customHeight="1">
      <c r="I35" s="146" t="s">
        <v>162</v>
      </c>
      <c r="J35" s="147">
        <v>7.5</v>
      </c>
      <c r="K35" s="146" t="s">
        <v>163</v>
      </c>
    </row>
    <row r="36" spans="9:11" ht="15.75" customHeight="1">
      <c r="I36" s="146" t="s">
        <v>166</v>
      </c>
      <c r="J36" s="147">
        <v>6</v>
      </c>
      <c r="K36" s="146" t="s">
        <v>163</v>
      </c>
    </row>
    <row r="37" spans="9:11" ht="15.75" customHeight="1">
      <c r="I37" s="146" t="s">
        <v>169</v>
      </c>
      <c r="J37" s="147">
        <v>52</v>
      </c>
      <c r="K37" s="146" t="s">
        <v>170</v>
      </c>
    </row>
    <row r="38" spans="9:11" ht="15.75" customHeight="1">
      <c r="I38" s="146" t="s">
        <v>173</v>
      </c>
      <c r="J38" s="147">
        <v>5.5</v>
      </c>
      <c r="K38" s="146" t="s">
        <v>163</v>
      </c>
    </row>
    <row r="39" spans="9:11" ht="15.75" customHeight="1">
      <c r="I39" s="166" t="s">
        <v>175</v>
      </c>
      <c r="J39" s="167"/>
      <c r="K39" s="168"/>
    </row>
    <row r="40" spans="9:11" ht="15.75" customHeight="1">
      <c r="I40" s="146" t="s">
        <v>177</v>
      </c>
      <c r="J40" s="147">
        <v>3.8</v>
      </c>
      <c r="K40" s="146" t="s">
        <v>178</v>
      </c>
    </row>
    <row r="41" spans="9:11" ht="15.75" customHeight="1">
      <c r="I41" s="146" t="s">
        <v>180</v>
      </c>
      <c r="J41" s="147">
        <v>4.3</v>
      </c>
      <c r="K41" s="146" t="s">
        <v>163</v>
      </c>
    </row>
    <row r="42" spans="9:11" ht="15.75" customHeight="1">
      <c r="I42" s="146" t="s">
        <v>181</v>
      </c>
      <c r="J42" s="147">
        <v>8.4</v>
      </c>
      <c r="K42" s="146" t="s">
        <v>182</v>
      </c>
    </row>
    <row r="43" spans="9:11" ht="15.75" customHeight="1">
      <c r="I43" s="146" t="s">
        <v>185</v>
      </c>
      <c r="J43" s="147">
        <v>1</v>
      </c>
      <c r="K43" s="146" t="s">
        <v>182</v>
      </c>
    </row>
    <row r="44" spans="9:11" ht="15.75" customHeight="1">
      <c r="I44" s="166" t="s">
        <v>188</v>
      </c>
      <c r="J44" s="167"/>
      <c r="K44" s="168"/>
    </row>
    <row r="45" spans="9:11" ht="15.75" customHeight="1">
      <c r="I45" s="146" t="s">
        <v>190</v>
      </c>
      <c r="J45" s="147">
        <v>7</v>
      </c>
      <c r="K45" s="146" t="s">
        <v>191</v>
      </c>
    </row>
    <row r="46" spans="9:11" ht="15.75" customHeight="1">
      <c r="I46" s="146" t="s">
        <v>194</v>
      </c>
      <c r="J46" s="147">
        <v>0.9</v>
      </c>
      <c r="K46" s="146" t="s">
        <v>191</v>
      </c>
    </row>
    <row r="47" spans="9:11" ht="15.75" customHeight="1">
      <c r="I47" s="146" t="s">
        <v>197</v>
      </c>
      <c r="J47" s="147">
        <v>2</v>
      </c>
      <c r="K47" s="146" t="s">
        <v>191</v>
      </c>
    </row>
    <row r="48" spans="9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</sheetData>
  <mergeCells count="11">
    <mergeCell ref="I14:K14"/>
    <mergeCell ref="I33:K33"/>
    <mergeCell ref="I39:K39"/>
    <mergeCell ref="I44:K44"/>
    <mergeCell ref="A1:F2"/>
    <mergeCell ref="A3:F3"/>
    <mergeCell ref="H3:N3"/>
    <mergeCell ref="A21:E21"/>
    <mergeCell ref="A22:E22"/>
    <mergeCell ref="A23:E23"/>
    <mergeCell ref="A24:E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KAK</vt:lpstr>
      <vt:lpstr>TCF - EF</vt:lpstr>
      <vt:lpstr>Use Case Point Per Paket</vt:lpstr>
      <vt:lpstr>Cost Estimation Per Paket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Dartono</cp:lastModifiedBy>
  <dcterms:modified xsi:type="dcterms:W3CDTF">2026-02-12T08:05:57Z</dcterms:modified>
</cp:coreProperties>
</file>